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 defaultThemeVersion="166925"/>
  <xr:revisionPtr revIDLastSave="0" documentId="8_{EF40BC83-C044-472E-95DB-FA8E31A738F8}" xr6:coauthVersionLast="47" xr6:coauthVersionMax="47" xr10:uidLastSave="{00000000-0000-0000-0000-000000000000}"/>
  <bookViews>
    <workbookView xWindow="240" yWindow="105" windowWidth="14805" windowHeight="8010" firstSheet="1" xr2:uid="{00000000-000D-0000-FFFF-FFFF00000000}"/>
  </bookViews>
  <sheets>
    <sheet name="1-to1-interview" sheetId="1" r:id="rId1"/>
    <sheet name="Dev Track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3" i="1" l="1"/>
  <c r="G54" i="1"/>
  <c r="G53" i="1"/>
  <c r="F54" i="1"/>
  <c r="F53" i="1"/>
  <c r="F52" i="1"/>
  <c r="F51" i="1"/>
  <c r="AB9" i="3"/>
</calcChain>
</file>

<file path=xl/sharedStrings.xml><?xml version="1.0" encoding="utf-8"?>
<sst xmlns="http://schemas.openxmlformats.org/spreadsheetml/2006/main" count="503" uniqueCount="292">
  <si>
    <t>Name</t>
  </si>
  <si>
    <t>General Notes</t>
  </si>
  <si>
    <t>Vertical notes</t>
  </si>
  <si>
    <t>Vertical selected by Pelsup</t>
  </si>
  <si>
    <t>Vertical assigned</t>
  </si>
  <si>
    <t>Chedup Tamang</t>
  </si>
  <si>
    <t xml:space="preserve">Why Pelsung? - could gain some knowledge instead of just staying at home 
Why SELISE mini cohort - Everyone is talkign about AI, wanted to be able to use AI and code after 2 months, thought BA was about business anatytics as in BI and wanted to know about BA. Wanted to gain AI knowledsge. 
</t>
  </si>
  <si>
    <t>Interested but not sure whether he will be able to actually do it? 
BA: BA nay be good as it may help him in future.</t>
  </si>
  <si>
    <t>BA</t>
  </si>
  <si>
    <t>Dawa Zangmo</t>
  </si>
  <si>
    <t xml:space="preserve">Was noted for admin position. 
Why pelsung: employer was not very supportive, worked as procurement officer in Serja Beverages
</t>
  </si>
  <si>
    <t>Deki Pelden</t>
  </si>
  <si>
    <t>Already employed, needs to go back, civil servent. 
why SELISE: she saw project management in SELISE</t>
  </si>
  <si>
    <t>Jamyang Sherab</t>
  </si>
  <si>
    <t>Not here ( maybe not in cohort also )</t>
  </si>
  <si>
    <t>not-present</t>
  </si>
  <si>
    <t>Jigme Choden</t>
  </si>
  <si>
    <t>Employed at DGPC, Going back to DGPC.
Why SELISE: thought it will help her in her daily work</t>
  </si>
  <si>
    <t>Looks like we forgot to record what she selected here, follow up</t>
  </si>
  <si>
    <t>Karma</t>
  </si>
  <si>
    <t>Tour Guide, Free lancer 
Worked in national assembly, was in civil servent before.</t>
  </si>
  <si>
    <t>QA</t>
  </si>
  <si>
    <t>Karma Lhamo</t>
  </si>
  <si>
    <t>Not present ( not here in the list also, never saw her in class )</t>
  </si>
  <si>
    <t>Karma Yezer</t>
  </si>
  <si>
    <t>Why SELSIE: Saw UX design
Planning to go to Australia</t>
  </si>
  <si>
    <t>Kezang Nima</t>
  </si>
  <si>
    <t>Kinga Wangmo</t>
  </si>
  <si>
    <t xml:space="preserve">Employed at DGPC, Going back to DGPC.
Why SELISE: wanted to learn IT and apply at work
why Pelsung: </t>
  </si>
  <si>
    <t xml:space="preserve">Kinley Dorji </t>
  </si>
  <si>
    <t xml:space="preserve">not present, BOB interview </t>
  </si>
  <si>
    <t>Leki Choden</t>
  </si>
  <si>
    <t>Why SELISE: Engineering is related to digital, data management, design CAD design, Saw team management
Was working but resigned and will look for opportunities in future</t>
  </si>
  <si>
    <t>Lhakpa Tshering Nesor</t>
  </si>
  <si>
    <t>Tour Guide
Will go back after Pelsung
SELISE: was second option</t>
  </si>
  <si>
    <t xml:space="preserve">Said BA - but finds difficulty understanding foundational classes </t>
  </si>
  <si>
    <t>Man Dhoj Raika</t>
  </si>
  <si>
    <t>Resigned as finance office 
Why SELISE: wanted to know about AI and digital and all, wanted to improve for next phase of career
Expactation after this: will give 100%
After pelsung: will run farm</t>
  </si>
  <si>
    <t xml:space="preserve">Said BA but </t>
  </si>
  <si>
    <t>Neten Dema</t>
  </si>
  <si>
    <t xml:space="preserve">Employed at NPPF, 
Why SELISE: saw business analyst and thout as finance analyst. </t>
  </si>
  <si>
    <t>Nidup Dorji 49</t>
  </si>
  <si>
    <t xml:space="preserve">Plans after Pelsung: nothing much 
Why SELISE: </t>
  </si>
  <si>
    <t>BA code will be too hard, BA enjoys doing spec
Speaking is a problem</t>
  </si>
  <si>
    <t>Nidup Dorji 52</t>
  </si>
  <si>
    <t>Working in BNB, going Back 
SELISE: BA and project management - thought it will be relevent to him</t>
  </si>
  <si>
    <t>Nima Yoezer</t>
  </si>
  <si>
    <t>Employed and going back
SELISE: saw project management and thought it was relevent
Very enthusiastic talking about tech as in phones and laptops said did not get opportunities
Talks a lot</t>
  </si>
  <si>
    <t>DEV</t>
  </si>
  <si>
    <t>Phub Lham</t>
  </si>
  <si>
    <t>Currently not employed
SELISE: explore about tech
Does not speaks much</t>
  </si>
  <si>
    <t>check her assignment for dev</t>
  </si>
  <si>
    <t>Puran Adhikari</t>
  </si>
  <si>
    <t>not here but informed</t>
  </si>
  <si>
    <t>Rigzang Dorji</t>
  </si>
  <si>
    <t>changed to different sub cohort</t>
  </si>
  <si>
    <t>Rinzin Seldon</t>
  </si>
  <si>
    <t>Not employed
SELISE: mistaken for SELISE for SHAMA</t>
  </si>
  <si>
    <t>Sabika Chhetri</t>
  </si>
  <si>
    <t>not here informed</t>
  </si>
  <si>
    <t>Sangay Choda</t>
  </si>
  <si>
    <t>currently employed but looking for opportunities, east bhutan end
Why SELISE: BCA graduate but wanted to learn and continue</t>
  </si>
  <si>
    <t>Sangay Choden</t>
  </si>
  <si>
    <t>Not employed 
BCA
SELISE: related to degree</t>
  </si>
  <si>
    <t>Chekc if she can get prio Laptop</t>
  </si>
  <si>
    <t>Sonam Dendup</t>
  </si>
  <si>
    <t>not here, not present here, CV check</t>
  </si>
  <si>
    <t>Sonam Rigden thinley</t>
  </si>
  <si>
    <t>SELISE: wanted to learn more. 
Not employed</t>
  </si>
  <si>
    <t>Sonam Rinchen</t>
  </si>
  <si>
    <t>A bit experienced
Not employed
Selise Potential</t>
  </si>
  <si>
    <t>Sonam Rinzin</t>
  </si>
  <si>
    <t>Selected corporate: but landed at SELISE blessing in des
Personally checked on HTML</t>
  </si>
  <si>
    <t>Sonam Tshering</t>
  </si>
  <si>
    <t>Employed in BNB - Going back 
why SELISE: confused with BA thing and finance</t>
  </si>
  <si>
    <t>Subhadra Ghallay</t>
  </si>
  <si>
    <t>Not Employed
BA general course with English</t>
  </si>
  <si>
    <t>Tashi Nima</t>
  </si>
  <si>
    <t>not here, Check CV</t>
  </si>
  <si>
    <t>Tashi Phuntsho</t>
  </si>
  <si>
    <t>Currently employed, Dungsam Ploymer - 
Looking to change if opportunity comes.</t>
  </si>
  <si>
    <t>Thinley Dorji</t>
  </si>
  <si>
    <t>SELISE: was interested in website development</t>
  </si>
  <si>
    <t>Thinley Pem</t>
  </si>
  <si>
    <t>not here, leave</t>
  </si>
  <si>
    <t xml:space="preserve">THRINLAY DHENDUP WANGCHEN </t>
  </si>
  <si>
    <t>not here</t>
  </si>
  <si>
    <t>Tshering Peldon</t>
  </si>
  <si>
    <t>SELISE: looked interesting, saw business analyst 
open for SELISE opportunities</t>
  </si>
  <si>
    <t>Tsewang Choden</t>
  </si>
  <si>
    <t>Working in BPC, going back.</t>
  </si>
  <si>
    <t>Ugyen choden</t>
  </si>
  <si>
    <t>General Shopkeeper, Nanglam</t>
  </si>
  <si>
    <t>Ugyen Jamtsho</t>
  </si>
  <si>
    <t>SELISE: new thing</t>
  </si>
  <si>
    <t>Ugyen Tshering</t>
  </si>
  <si>
    <t>Speaks a lot
SELISE: software</t>
  </si>
  <si>
    <t>Ugyen Tshomo</t>
  </si>
  <si>
    <t>SELISE: saw business and management</t>
  </si>
  <si>
    <t>Yeshey wangchuk</t>
  </si>
  <si>
    <t>SELISE: learned programming and website dev in past</t>
  </si>
  <si>
    <t>Check assignment once.</t>
  </si>
  <si>
    <t>Yeshi Dorji</t>
  </si>
  <si>
    <t xml:space="preserve">worked at NGN </t>
  </si>
  <si>
    <t>Yeser pelzang</t>
  </si>
  <si>
    <t xml:space="preserve"> </t>
  </si>
  <si>
    <t>dev</t>
  </si>
  <si>
    <t>ba</t>
  </si>
  <si>
    <t>qa</t>
  </si>
  <si>
    <t>absent</t>
  </si>
  <si>
    <t>CID</t>
  </si>
  <si>
    <t>Gender</t>
  </si>
  <si>
    <t>DOB</t>
  </si>
  <si>
    <t>Age</t>
  </si>
  <si>
    <t>Phone Number</t>
  </si>
  <si>
    <t>Remarks</t>
  </si>
  <si>
    <t>Email</t>
  </si>
  <si>
    <t>Permanent Address</t>
  </si>
  <si>
    <t>Present Address</t>
  </si>
  <si>
    <t>Marital Status</t>
  </si>
  <si>
    <t>Occupation</t>
  </si>
  <si>
    <t>Qualification</t>
  </si>
  <si>
    <t>Course Name</t>
  </si>
  <si>
    <t>Institution Name</t>
  </si>
  <si>
    <t>instution_country</t>
  </si>
  <si>
    <t>Qualification Certificate</t>
  </si>
  <si>
    <t>CV</t>
  </si>
  <si>
    <t>Photo</t>
  </si>
  <si>
    <t>NOC</t>
  </si>
  <si>
    <t>Desuung Status</t>
  </si>
  <si>
    <t>Gyalsup Status</t>
  </si>
  <si>
    <t>Medical Condition</t>
  </si>
  <si>
    <t>Medical Remarks</t>
  </si>
  <si>
    <t>Medical Screening</t>
  </si>
  <si>
    <t>Drug Screening</t>
  </si>
  <si>
    <t>Emergency Contact Name</t>
  </si>
  <si>
    <t>Emergency Contact Phone</t>
  </si>
  <si>
    <t>Emergency Contact Relationship</t>
  </si>
  <si>
    <t>Blood Group</t>
  </si>
  <si>
    <t>Bank</t>
  </si>
  <si>
    <t>Bank Account Number</t>
  </si>
  <si>
    <t>TPN</t>
  </si>
  <si>
    <t>Program</t>
  </si>
  <si>
    <t>Company</t>
  </si>
  <si>
    <t>M</t>
  </si>
  <si>
    <t>1993-10-12 00:00:00.000Z</t>
  </si>
  <si>
    <t>Electrical guy, talks a lot. Has to go back.</t>
  </si>
  <si>
    <t>nima.yoezer@smcl.bt</t>
  </si>
  <si>
    <t>Samtse</t>
  </si>
  <si>
    <t>Phuentshopelri, Samtse</t>
  </si>
  <si>
    <t>married</t>
  </si>
  <si>
    <t>corporate</t>
  </si>
  <si>
    <t>diploma</t>
  </si>
  <si>
    <t>Electrical Engineer</t>
  </si>
  <si>
    <t>Jigme Namgyel Polytechnic</t>
  </si>
  <si>
    <t>https://api.pelsung.bt/api/files/pbc_2689671926/rboi3f2mk0p7pej/11208000546_certificate_5ndz99i55f.jpeg</t>
  </si>
  <si>
    <t>https://api.pelsung.bt/api/files/pbc_2689671926/rboi3f2mk0p7pej/11208000546_cv_pw5dbh6rvz.pdf</t>
  </si>
  <si>
    <t>https://api.pelsung.bt/api/files/pbc_2689671926/rboi3f2mk0p7pej/11208000546_photo_sp2jz5g1mp.jpg</t>
  </si>
  <si>
    <t>11208000546_v2mxbosvno.pdf</t>
  </si>
  <si>
    <t>no</t>
  </si>
  <si>
    <t>none</t>
  </si>
  <si>
    <t>passed</t>
  </si>
  <si>
    <t>Sangay Wangmo</t>
  </si>
  <si>
    <t>spouse</t>
  </si>
  <si>
    <t>O+</t>
  </si>
  <si>
    <t>DK Bank</t>
  </si>
  <si>
    <t>NAP93469</t>
  </si>
  <si>
    <t>SELISE</t>
  </si>
  <si>
    <t>Singye</t>
  </si>
  <si>
    <t>2002-03-01 00:00:00.000Z</t>
  </si>
  <si>
    <t xml:space="preserve">Monitor his overall attitude etc. </t>
  </si>
  <si>
    <t>puranadhikari224@gmail.com</t>
  </si>
  <si>
    <t>Thimphu Thromde, Thimphu</t>
  </si>
  <si>
    <t>divorced</t>
  </si>
  <si>
    <t>unemployed</t>
  </si>
  <si>
    <t>bachelor</t>
  </si>
  <si>
    <t>BE Mechatronics</t>
  </si>
  <si>
    <t>Chitkara University</t>
  </si>
  <si>
    <t>https://api.pelsung.bt/api/files/pbc_2689671926/xf2d2tz5e4vpmjo/11206005505_certificate_ewkqs6eqnq.pdf</t>
  </si>
  <si>
    <t>https://api.pelsung.bt/api/files/pbc_2689671926/xf2d2tz5e4vpmjo/11206005505_cv_g2qu6n7liy.pdf</t>
  </si>
  <si>
    <t>https://api.pelsung.bt/api/files/pbc_2689671926/xf2d2tz5e4vpmjo/11206005505_photo_2s4jndsmgi.JPG</t>
  </si>
  <si>
    <t>Bhagi Maya Dulal</t>
  </si>
  <si>
    <t>mother</t>
  </si>
  <si>
    <t>B+</t>
  </si>
  <si>
    <t>F</t>
  </si>
  <si>
    <t>2000-06-17 00:00:00.000Z</t>
  </si>
  <si>
    <t>sabikachhetri17@gmail.com</t>
  </si>
  <si>
    <t>Sarpang</t>
  </si>
  <si>
    <t>Samtenling, Sarpang</t>
  </si>
  <si>
    <t>single</t>
  </si>
  <si>
    <t>BCA</t>
  </si>
  <si>
    <t>SRM university</t>
  </si>
  <si>
    <t>https://api.pelsung.bt/api/files/pbc_2689671926/ibo3hy64zqgrlev/11301003461_certificate_7odcsj3bza.pdf</t>
  </si>
  <si>
    <t>https://api.pelsung.bt/api/files/pbc_2689671926/ibo3hy64zqgrlev/11301003461_cv_ql395er0id.pdf</t>
  </si>
  <si>
    <t>https://api.pelsung.bt/api/files/pbc_2689671926/ibo3hy64zqgrlev/11301003461_photo_0avvwsvfss.JPG</t>
  </si>
  <si>
    <t>Bank of Bhutan</t>
  </si>
  <si>
    <t>Chhung</t>
  </si>
  <si>
    <t>2000-10-22 00:00:00.000Z</t>
  </si>
  <si>
    <t>schoden877@gmail.com</t>
  </si>
  <si>
    <t>Zhemgang</t>
  </si>
  <si>
    <t>Ngangla, Zhemgang</t>
  </si>
  <si>
    <t>Bachelor of computer Application</t>
  </si>
  <si>
    <t>Chandigarh university</t>
  </si>
  <si>
    <t>https://api.pelsung.bt/api/files/pbc_2689671926/s1dl9iodfxwxe17/12005003174_certificate_ehabrz5kax.jpg</t>
  </si>
  <si>
    <t>https://api.pelsung.bt/api/files/pbc_2689671926/s1dl9iodfxwxe17/12005003174_cv_jeulsfp9py.pdf</t>
  </si>
  <si>
    <t>https://api.pelsung.bt/api/files/pbc_2689671926/s1dl9iodfxwxe17/12005003174_photo_14qefnrdjg.png</t>
  </si>
  <si>
    <t>Pema zangpo</t>
  </si>
  <si>
    <t>brother</t>
  </si>
  <si>
    <t>Taag</t>
  </si>
  <si>
    <t>Sonam Rigdhen Thinley</t>
  </si>
  <si>
    <t>2001-07-26 00:00:00.000Z</t>
  </si>
  <si>
    <t>RigdenHub guy. Looks a bit cocky but can mold</t>
  </si>
  <si>
    <t>sonamrigdhen666@gmail.com</t>
  </si>
  <si>
    <t>Trashigang</t>
  </si>
  <si>
    <t>Wangchang, Paro</t>
  </si>
  <si>
    <t>Diploma in physical education and sports coaching</t>
  </si>
  <si>
    <t>Paro college of education</t>
  </si>
  <si>
    <t>https://api.pelsung.bt/api/files/pbc_2689671926/klg7gwf5tb4ejjc/11501002581_certificate_1fs2n57pls.jpg</t>
  </si>
  <si>
    <t>https://api.pelsung.bt/api/files/pbc_2689671926/klg7gwf5tb4ejjc/11501002581_cv_j8hgxshczx.pdf</t>
  </si>
  <si>
    <t>https://api.pelsung.bt/api/files/pbc_2689671926/klg7gwf5tb4ejjc/11501002581_photo_n67wklev1a.jpg</t>
  </si>
  <si>
    <t>Kunzang Thinley</t>
  </si>
  <si>
    <t>father</t>
  </si>
  <si>
    <t>2003-07-07 00:00:00.000Z</t>
  </si>
  <si>
    <t>A bit experienced, Selise potential.</t>
  </si>
  <si>
    <t>sonamrinchen443@gmail.com</t>
  </si>
  <si>
    <t>Trashiyangtse</t>
  </si>
  <si>
    <t>Yangtse, Tashi Yangtse</t>
  </si>
  <si>
    <t>Diploma in Computer System and Network</t>
  </si>
  <si>
    <t>Jigme Namgyel Engineering College</t>
  </si>
  <si>
    <t>https://api.pelsung.bt/api/files/pbc_2689671926/8xg9oxaxej9i3wc/11608002636_certificate_fnm1lemsei.pdf</t>
  </si>
  <si>
    <t>https://api.pelsung.bt/api/files/pbc_2689671926/8xg9oxaxej9i3wc/11608002636_cv_dbg4xiwb27.pdf</t>
  </si>
  <si>
    <t>https://api.pelsung.bt/api/files/pbc_2689671926/8xg9oxaxej9i3wc/11608002636_photo_kyho3shs6p.jpg</t>
  </si>
  <si>
    <t>975 77808501</t>
  </si>
  <si>
    <t>1996-07-14 00:00:00.000Z</t>
  </si>
  <si>
    <t>Dungsam guy, has done laravel, springboot etc.</t>
  </si>
  <si>
    <t>tasheephuntsho301@gmail.com</t>
  </si>
  <si>
    <t>Samdrupjongkhar</t>
  </si>
  <si>
    <t>Wangphu, Samdrup Jongkhar</t>
  </si>
  <si>
    <t>Bsc. In Computer Science</t>
  </si>
  <si>
    <t>Royal University of Bhutan Sherubtse College</t>
  </si>
  <si>
    <t>https://api.pelsung.bt/api/files/pbc_2689671926/kq1l19h0opsdtgv/11102006389_certificate_2q0b5wiodu.pdf</t>
  </si>
  <si>
    <t>https://api.pelsung.bt/api/files/pbc_2689671926/kq1l19h0opsdtgv/11102006389_cv_4b54aur4ix.pdf</t>
  </si>
  <si>
    <t>https://api.pelsung.bt/api/files/pbc_2689671926/kq1l19h0opsdtgv/11102006389_photo_uajfb5t7zc.png</t>
  </si>
  <si>
    <t>11102006389_sz1vqcy70x.pdf</t>
  </si>
  <si>
    <t>Tshedup Zangmo</t>
  </si>
  <si>
    <t>AB+</t>
  </si>
  <si>
    <t>tdp16771</t>
  </si>
  <si>
    <t>2003-08-29 00:00:00.000Z</t>
  </si>
  <si>
    <t>thinleyd959@gmail.com</t>
  </si>
  <si>
    <t>Kawang, Thimphu</t>
  </si>
  <si>
    <t>Physics</t>
  </si>
  <si>
    <t>Sherubtse college</t>
  </si>
  <si>
    <t>https://api.pelsung.bt/api/files/pbc_2689671926/f9liga80zh7p6f2/11503004814_certificate_v64rijogtz.pdf</t>
  </si>
  <si>
    <t>https://api.pelsung.bt/api/files/pbc_2689671926/f9liga80zh7p6f2/11503004814_cv_2vvgyx0o3f.pdf</t>
  </si>
  <si>
    <t>https://api.pelsung.bt/api/files/pbc_2689671926/f9liga80zh7p6f2/11503004814_photo_8wg5e1xdiz.jpg</t>
  </si>
  <si>
    <t>Dechen zangmo</t>
  </si>
  <si>
    <t>1988-05-20 00:00:00.000Z</t>
  </si>
  <si>
    <t>Headache</t>
  </si>
  <si>
    <t>yugel.tshering@icloud.com</t>
  </si>
  <si>
    <t>private</t>
  </si>
  <si>
    <t>BSc. IT</t>
  </si>
  <si>
    <t>Bangalore University</t>
  </si>
  <si>
    <t>https://api.pelsung.bt/api/files/pbc_2689671926/z5wuko2ke9zen8f/12008003646_certificate_fbopwt1bmx.jpeg</t>
  </si>
  <si>
    <t>https://api.pelsung.bt/api/files/pbc_2689671926/z5wuko2ke9zen8f/12008003646_cv_azfindvay5.pdf</t>
  </si>
  <si>
    <t>https://api.pelsung.bt/api/files/pbc_2689671926/z5wuko2ke9zen8f/12008003646_photo_wif3kkk0wo.jpeg</t>
  </si>
  <si>
    <t>12008003646_z98gjf6zwu.pdf</t>
  </si>
  <si>
    <t>Chimmi Wangmo</t>
  </si>
  <si>
    <t>sister</t>
  </si>
  <si>
    <t>UAP25254</t>
  </si>
  <si>
    <t>Druk</t>
  </si>
  <si>
    <t>Yeshey Wangchuk</t>
  </si>
  <si>
    <t>2002-10-15 00:00:00.000Z</t>
  </si>
  <si>
    <t>Learned JS etc</t>
  </si>
  <si>
    <t>punkdawa489@gmail.com</t>
  </si>
  <si>
    <t>Chukha</t>
  </si>
  <si>
    <t>Phuentsholing, Chhukha</t>
  </si>
  <si>
    <t>BA in English</t>
  </si>
  <si>
    <t>Norbuling Rigter college</t>
  </si>
  <si>
    <t>https://api.pelsung.bt/api/files/pbc_2689671926/vyt5l1pi12p27ez/11410004075_certificate_5e8n4katdi.docx</t>
  </si>
  <si>
    <t>https://api.pelsung.bt/api/files/pbc_2689671926/vyt5l1pi12p27ez/11410004075_cv_60c5sicjc7.pdf</t>
  </si>
  <si>
    <t>https://api.pelsung.bt/api/files/pbc_2689671926/vyt5l1pi12p27ez/11410004075_photo_x05hjbby9g.jpg</t>
  </si>
  <si>
    <t>Chogyal</t>
  </si>
  <si>
    <t>A+</t>
  </si>
  <si>
    <t>2003-07-04 00:00:00.000Z</t>
  </si>
  <si>
    <t>NGN Experience, has done a bit of Angular</t>
  </si>
  <si>
    <t>yesheydorjee4@gmail.com</t>
  </si>
  <si>
    <t>Diploma in Information Technology</t>
  </si>
  <si>
    <t>Athang Training Academy</t>
  </si>
  <si>
    <t>https://api.pelsung.bt/api/files/pbc_2689671926/1oz0ngm6slprzst/11501003508_certificate_i2q39n27sl.pdf</t>
  </si>
  <si>
    <t>https://api.pelsung.bt/api/files/pbc_2689671926/1oz0ngm6slprzst/11501003508_cv_zb281q3mdm.pdf</t>
  </si>
  <si>
    <t>https://api.pelsung.bt/api/files/pbc_2689671926/1oz0ngm6slprzst/11501003508_photo_neknqz718r.jpg</t>
  </si>
  <si>
    <t>Tshering Phuntsho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</si>
</sst>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rgb="FF434343"/>
      <name val="Poppins"/>
    </font>
    <font>
      <u/>
      <sz val="11"/>
      <color rgb="FF434343"/>
      <name val="Poppins"/>
    </font>
    <font>
      <b/>
      <sz val="11"/>
      <color theme="1"/>
      <name val="Poppins"/>
    </font>
    <font>
      <sz val="11"/>
      <color rgb="FF000000"/>
      <name val="Calibri"/>
      <charset val="1"/>
    </font>
    <font>
      <sz val="11"/>
      <color rgb="FF000000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/>
    <xf numFmtId="0" fontId="0" fillId="2" borderId="0" xfId="0" applyFill="1"/>
    <xf numFmtId="0" fontId="5" fillId="3" borderId="0" xfId="0" applyFont="1" applyFill="1"/>
    <xf numFmtId="0" fontId="1" fillId="3" borderId="1" xfId="0" applyFont="1" applyFill="1" applyBorder="1" applyAlignment="1">
      <alignment horizontal="center"/>
    </xf>
    <xf numFmtId="0" fontId="6" fillId="3" borderId="1" xfId="0" applyFont="1" applyFill="1" applyBorder="1"/>
    <xf numFmtId="0" fontId="2" fillId="3" borderId="1" xfId="0" applyFont="1" applyFill="1" applyBorder="1" applyAlignment="1">
      <alignment horizontal="center" wrapText="1"/>
    </xf>
    <xf numFmtId="0" fontId="6" fillId="3" borderId="1" xfId="0" applyFont="1" applyFill="1" applyBorder="1" applyAlignment="1">
      <alignment horizontal="center" wrapText="1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right"/>
    </xf>
    <xf numFmtId="0" fontId="0" fillId="3" borderId="0" xfId="0" applyFill="1"/>
    <xf numFmtId="0" fontId="1" fillId="3" borderId="1" xfId="0" applyFont="1" applyFill="1" applyBorder="1" applyAlignment="1">
      <alignment horizontal="center" wrapText="1"/>
    </xf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oppins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D0EFC1-1F58-44F1-95CC-0B8887484C17}" name="Table22" displayName="Table22" ref="A1:AI1" headerRowCount="0">
  <tableColumns count="35">
    <tableColumn id="1" xr3:uid="{61903C97-C2DE-4ADF-AF78-2D1DF0CDA28B}" name="Column1"/>
    <tableColumn id="2" xr3:uid="{B2A517AF-EC73-452C-A1CF-8E6272B881D1}" name="Column2"/>
    <tableColumn id="3" xr3:uid="{2D502512-8C3C-4358-B6BB-8A8E2D42108A}" name="Column3"/>
    <tableColumn id="4" xr3:uid="{0D4D8B9B-699F-41D8-9065-9309947BE9ED}" name="Column4"/>
    <tableColumn id="5" xr3:uid="{6D548891-3FCF-4F0D-8A84-0B0B036C3CFA}" name="Column5"/>
    <tableColumn id="6" xr3:uid="{8C43D94E-A3C9-4BB9-A160-9ABAF16AC263}" name="Column6"/>
    <tableColumn id="35" xr3:uid="{BCE3828C-1273-4D0A-B57D-89CD320716CD}" name="Column35" dataDxfId="0"/>
    <tableColumn id="7" xr3:uid="{74CBF1E4-5FD7-4691-96F1-BB71C7076887}" name="Column7"/>
    <tableColumn id="8" xr3:uid="{2C5ABAB0-7575-4A47-969D-1A95AB9EE1A9}" name="Column8"/>
    <tableColumn id="9" xr3:uid="{B2CF658C-F7A0-4377-AD78-060DFEA9B0D1}" name="Column9"/>
    <tableColumn id="10" xr3:uid="{E9C4AB7A-DC6D-4C1A-8735-38C4AF76EAD4}" name="Column10"/>
    <tableColumn id="11" xr3:uid="{D706C953-D5A7-475F-B050-43EBB98B2CF3}" name="Column11"/>
    <tableColumn id="12" xr3:uid="{C7A90440-12F6-4ACD-90BE-652114E0AF13}" name="Column12"/>
    <tableColumn id="13" xr3:uid="{3D331E1D-5A96-45B9-971D-2668207FED2F}" name="Column13"/>
    <tableColumn id="14" xr3:uid="{162A6EDA-92AD-46C4-8E22-5707B215F6C1}" name="Column14"/>
    <tableColumn id="15" xr3:uid="{951E8683-875A-4D70-B32B-9AD5F35FE1D3}" name="Column15"/>
    <tableColumn id="16" xr3:uid="{A25D46BC-60E3-4A79-B3F1-535342786952}" name="Column16"/>
    <tableColumn id="17" xr3:uid="{D010733C-9B85-4657-8EDA-27288AA68599}" name="Column17"/>
    <tableColumn id="18" xr3:uid="{33969014-5DD7-495F-B512-1BD218B90D33}" name="Column18"/>
    <tableColumn id="19" xr3:uid="{360A9146-ADB5-4323-A774-B2AF28B3714D}" name="Column19"/>
    <tableColumn id="20" xr3:uid="{E5C3A5AF-C4AC-4729-B020-81B1D442872C}" name="Column20"/>
    <tableColumn id="21" xr3:uid="{0CA07D99-D6D1-4164-A8C5-EBD31137AF5E}" name="Column21"/>
    <tableColumn id="22" xr3:uid="{F9405086-7130-4CE6-9BE2-86B33B670413}" name="Column22"/>
    <tableColumn id="23" xr3:uid="{9021AB1D-E262-43E5-9A14-E0B4C26A360B}" name="Column23"/>
    <tableColumn id="24" xr3:uid="{44B073BA-EF94-49D7-96B1-D6B898CE9689}" name="Column24"/>
    <tableColumn id="25" xr3:uid="{F9AB1FB4-19FA-44C4-87D7-028039F2638C}" name="Column25"/>
    <tableColumn id="26" xr3:uid="{4E7ABB41-6CD5-46BF-86B0-113F4E06B0EC}" name="Column26"/>
    <tableColumn id="27" xr3:uid="{EB7483D6-C575-46E1-B97C-C6885E9E73A8}" name="Column27"/>
    <tableColumn id="28" xr3:uid="{331B4148-C9C1-4DE1-815C-1C02063691E1}" name="Column28"/>
    <tableColumn id="29" xr3:uid="{7685C23E-6D28-4D54-BA0F-BF76B6EABD92}" name="Column29"/>
    <tableColumn id="30" xr3:uid="{41C450BA-86E4-4CE7-B262-77B07FA1C097}" name="Column30"/>
    <tableColumn id="31" xr3:uid="{5E937D1C-D46F-4BB9-83DE-81D16BCF5DCA}" name="Column31"/>
    <tableColumn id="32" xr3:uid="{1D3FB4FD-4E31-4FF5-AA9A-3D9D48CED084}" name="Column32"/>
    <tableColumn id="33" xr3:uid="{0B1FF671-2A0F-48FB-9959-F91EF0D7F740}" name="Column33"/>
    <tableColumn id="34" xr3:uid="{168A5516-59B8-4685-A9BE-CBBD3550AC5E}" name="Column34"/>
  </tableColumns>
  <tableStyleInfo name="SELISE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api.pelsung.bt/api/files/pbc_2689671926/klg7gwf5tb4ejjc/11501002581_certificate_1fs2n57pls.jpg" TargetMode="External"/><Relationship Id="rId18" Type="http://schemas.openxmlformats.org/officeDocument/2006/relationships/hyperlink" Target="https://api.pelsung.bt/api/files/pbc_2689671926/8xg9oxaxej9i3wc/11608002636_photo_kyho3shs6p.jpg" TargetMode="External"/><Relationship Id="rId26" Type="http://schemas.openxmlformats.org/officeDocument/2006/relationships/hyperlink" Target="https://api.pelsung.bt/api/files/pbc_2689671926/z5wuko2ke9zen8f/12008003646_cv_azfindvay5.pdf" TargetMode="External"/><Relationship Id="rId3" Type="http://schemas.openxmlformats.org/officeDocument/2006/relationships/hyperlink" Target="https://api.pelsung.bt/api/files/pbc_2689671926/rboi3f2mk0p7pej/11208000546_photo_sp2jz5g1mp.jpg" TargetMode="External"/><Relationship Id="rId21" Type="http://schemas.openxmlformats.org/officeDocument/2006/relationships/hyperlink" Target="https://api.pelsung.bt/api/files/pbc_2689671926/kq1l19h0opsdtgv/11102006389_photo_uajfb5t7zc.png" TargetMode="External"/><Relationship Id="rId34" Type="http://schemas.openxmlformats.org/officeDocument/2006/relationships/table" Target="../tables/table1.xml"/><Relationship Id="rId7" Type="http://schemas.openxmlformats.org/officeDocument/2006/relationships/hyperlink" Target="https://api.pelsung.bt/api/files/pbc_2689671926/ibo3hy64zqgrlev/11301003461_certificate_7odcsj3bza.pdf" TargetMode="External"/><Relationship Id="rId12" Type="http://schemas.openxmlformats.org/officeDocument/2006/relationships/hyperlink" Target="https://api.pelsung.bt/api/files/pbc_2689671926/s1dl9iodfxwxe17/12005003174_photo_14qefnrdjg.png" TargetMode="External"/><Relationship Id="rId17" Type="http://schemas.openxmlformats.org/officeDocument/2006/relationships/hyperlink" Target="https://api.pelsung.bt/api/files/pbc_2689671926/8xg9oxaxej9i3wc/11608002636_cv_dbg4xiwb27.pdf" TargetMode="External"/><Relationship Id="rId25" Type="http://schemas.openxmlformats.org/officeDocument/2006/relationships/hyperlink" Target="https://api.pelsung.bt/api/files/pbc_2689671926/z5wuko2ke9zen8f/12008003646_certificate_fbopwt1bmx.jpeg" TargetMode="External"/><Relationship Id="rId33" Type="http://schemas.openxmlformats.org/officeDocument/2006/relationships/hyperlink" Target="https://api.pelsung.bt/api/files/pbc_2689671926/1oz0ngm6slprzst/11501003508_photo_neknqz718r.jpg" TargetMode="External"/><Relationship Id="rId2" Type="http://schemas.openxmlformats.org/officeDocument/2006/relationships/hyperlink" Target="https://api.pelsung.bt/api/files/pbc_2689671926/rboi3f2mk0p7pej/11208000546_cv_pw5dbh6rvz.pdf" TargetMode="External"/><Relationship Id="rId16" Type="http://schemas.openxmlformats.org/officeDocument/2006/relationships/hyperlink" Target="https://api.pelsung.bt/api/files/pbc_2689671926/8xg9oxaxej9i3wc/11608002636_certificate_fnm1lemsei.pdf" TargetMode="External"/><Relationship Id="rId20" Type="http://schemas.openxmlformats.org/officeDocument/2006/relationships/hyperlink" Target="https://api.pelsung.bt/api/files/pbc_2689671926/kq1l19h0opsdtgv/11102006389_cv_4b54aur4ix.pdf" TargetMode="External"/><Relationship Id="rId29" Type="http://schemas.openxmlformats.org/officeDocument/2006/relationships/hyperlink" Target="https://api.pelsung.bt/api/files/pbc_2689671926/vyt5l1pi12p27ez/11410004075_cv_60c5sicjc7.pdf" TargetMode="External"/><Relationship Id="rId1" Type="http://schemas.openxmlformats.org/officeDocument/2006/relationships/hyperlink" Target="https://api.pelsung.bt/api/files/pbc_2689671926/rboi3f2mk0p7pej/11208000546_certificate_5ndz99i55f.jpeg" TargetMode="External"/><Relationship Id="rId6" Type="http://schemas.openxmlformats.org/officeDocument/2006/relationships/hyperlink" Target="https://api.pelsung.bt/api/files/pbc_2689671926/xf2d2tz5e4vpmjo/11206005505_photo_2s4jndsmgi.JPG" TargetMode="External"/><Relationship Id="rId11" Type="http://schemas.openxmlformats.org/officeDocument/2006/relationships/hyperlink" Target="https://api.pelsung.bt/api/files/pbc_2689671926/s1dl9iodfxwxe17/12005003174_cv_jeulsfp9py.pdf" TargetMode="External"/><Relationship Id="rId24" Type="http://schemas.openxmlformats.org/officeDocument/2006/relationships/hyperlink" Target="https://api.pelsung.bt/api/files/pbc_2689671926/f9liga80zh7p6f2/11503004814_photo_8wg5e1xdiz.jpg" TargetMode="External"/><Relationship Id="rId32" Type="http://schemas.openxmlformats.org/officeDocument/2006/relationships/hyperlink" Target="https://api.pelsung.bt/api/files/pbc_2689671926/1oz0ngm6slprzst/11501003508_cv_zb281q3mdm.pdf" TargetMode="External"/><Relationship Id="rId5" Type="http://schemas.openxmlformats.org/officeDocument/2006/relationships/hyperlink" Target="https://api.pelsung.bt/api/files/pbc_2689671926/xf2d2tz5e4vpmjo/11206005505_cv_g2qu6n7liy.pdf" TargetMode="External"/><Relationship Id="rId15" Type="http://schemas.openxmlformats.org/officeDocument/2006/relationships/hyperlink" Target="https://api.pelsung.bt/api/files/pbc_2689671926/klg7gwf5tb4ejjc/11501002581_photo_n67wklev1a.jpg" TargetMode="External"/><Relationship Id="rId23" Type="http://schemas.openxmlformats.org/officeDocument/2006/relationships/hyperlink" Target="https://api.pelsung.bt/api/files/pbc_2689671926/f9liga80zh7p6f2/11503004814_cv_2vvgyx0o3f.pdf" TargetMode="External"/><Relationship Id="rId28" Type="http://schemas.openxmlformats.org/officeDocument/2006/relationships/hyperlink" Target="https://api.pelsung.bt/api/files/pbc_2689671926/vyt5l1pi12p27ez/11410004075_certificate_5e8n4katdi.docx" TargetMode="External"/><Relationship Id="rId10" Type="http://schemas.openxmlformats.org/officeDocument/2006/relationships/hyperlink" Target="https://api.pelsung.bt/api/files/pbc_2689671926/s1dl9iodfxwxe17/12005003174_certificate_ehabrz5kax.jpg" TargetMode="External"/><Relationship Id="rId19" Type="http://schemas.openxmlformats.org/officeDocument/2006/relationships/hyperlink" Target="https://api.pelsung.bt/api/files/pbc_2689671926/kq1l19h0opsdtgv/11102006389_certificate_2q0b5wiodu.pdf" TargetMode="External"/><Relationship Id="rId31" Type="http://schemas.openxmlformats.org/officeDocument/2006/relationships/hyperlink" Target="https://api.pelsung.bt/api/files/pbc_2689671926/1oz0ngm6slprzst/11501003508_certificate_i2q39n27sl.pdf" TargetMode="External"/><Relationship Id="rId4" Type="http://schemas.openxmlformats.org/officeDocument/2006/relationships/hyperlink" Target="https://api.pelsung.bt/api/files/pbc_2689671926/xf2d2tz5e4vpmjo/11206005505_certificate_ewkqs6eqnq.pdf" TargetMode="External"/><Relationship Id="rId9" Type="http://schemas.openxmlformats.org/officeDocument/2006/relationships/hyperlink" Target="https://api.pelsung.bt/api/files/pbc_2689671926/ibo3hy64zqgrlev/11301003461_photo_0avvwsvfss.JPG" TargetMode="External"/><Relationship Id="rId14" Type="http://schemas.openxmlformats.org/officeDocument/2006/relationships/hyperlink" Target="https://api.pelsung.bt/api/files/pbc_2689671926/klg7gwf5tb4ejjc/11501002581_cv_j8hgxshczx.pdf" TargetMode="External"/><Relationship Id="rId22" Type="http://schemas.openxmlformats.org/officeDocument/2006/relationships/hyperlink" Target="https://api.pelsung.bt/api/files/pbc_2689671926/f9liga80zh7p6f2/11503004814_certificate_v64rijogtz.pdf" TargetMode="External"/><Relationship Id="rId27" Type="http://schemas.openxmlformats.org/officeDocument/2006/relationships/hyperlink" Target="https://api.pelsung.bt/api/files/pbc_2689671926/z5wuko2ke9zen8f/12008003646_photo_wif3kkk0wo.jpeg" TargetMode="External"/><Relationship Id="rId30" Type="http://schemas.openxmlformats.org/officeDocument/2006/relationships/hyperlink" Target="https://api.pelsung.bt/api/files/pbc_2689671926/vyt5l1pi12p27ez/11410004075_photo_x05hjbby9g.jpg" TargetMode="External"/><Relationship Id="rId8" Type="http://schemas.openxmlformats.org/officeDocument/2006/relationships/hyperlink" Target="https://api.pelsung.bt/api/files/pbc_2689671926/ibo3hy64zqgrlev/11301003461_cv_ql395er0id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"/>
  <sheetViews>
    <sheetView tabSelected="1" topLeftCell="B42" workbookViewId="0">
      <selection activeCell="H54" sqref="H54"/>
    </sheetView>
  </sheetViews>
  <sheetFormatPr defaultRowHeight="15"/>
  <cols>
    <col min="1" max="1" width="30.85546875" customWidth="1"/>
    <col min="2" max="2" width="89.7109375" customWidth="1"/>
    <col min="3" max="3" width="51.28515625" customWidth="1"/>
    <col min="4" max="4" width="32" customWidth="1"/>
    <col min="5" max="5" width="15" customWidth="1"/>
    <col min="6" max="6" width="13.42578125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ht="60.75">
      <c r="A2" t="s">
        <v>5</v>
      </c>
      <c r="B2" s="1" t="s">
        <v>6</v>
      </c>
      <c r="C2" s="1" t="s">
        <v>7</v>
      </c>
      <c r="D2" t="s">
        <v>8</v>
      </c>
      <c r="E2" t="s">
        <v>8</v>
      </c>
    </row>
    <row r="3" spans="1:5" ht="45.75">
      <c r="A3" t="s">
        <v>9</v>
      </c>
      <c r="B3" s="1" t="s">
        <v>10</v>
      </c>
      <c r="D3" t="s">
        <v>8</v>
      </c>
      <c r="E3" t="s">
        <v>8</v>
      </c>
    </row>
    <row r="4" spans="1:5" ht="30.75">
      <c r="A4" t="s">
        <v>11</v>
      </c>
      <c r="B4" s="1" t="s">
        <v>12</v>
      </c>
      <c r="D4" t="s">
        <v>8</v>
      </c>
      <c r="E4" t="s">
        <v>8</v>
      </c>
    </row>
    <row r="5" spans="1:5" s="6" customFormat="1">
      <c r="A5" s="6" t="s">
        <v>13</v>
      </c>
      <c r="B5" s="6" t="s">
        <v>14</v>
      </c>
      <c r="D5" s="6" t="s">
        <v>15</v>
      </c>
      <c r="E5" s="6" t="s">
        <v>15</v>
      </c>
    </row>
    <row r="6" spans="1:5" ht="30.75">
      <c r="A6" t="s">
        <v>16</v>
      </c>
      <c r="B6" s="1" t="s">
        <v>17</v>
      </c>
      <c r="C6" t="s">
        <v>18</v>
      </c>
    </row>
    <row r="7" spans="1:5" ht="30.75">
      <c r="A7" t="s">
        <v>19</v>
      </c>
      <c r="B7" s="1" t="s">
        <v>20</v>
      </c>
      <c r="D7" t="s">
        <v>21</v>
      </c>
      <c r="E7" t="s">
        <v>21</v>
      </c>
    </row>
    <row r="8" spans="1:5" s="6" customFormat="1">
      <c r="A8" s="6" t="s">
        <v>22</v>
      </c>
      <c r="B8" s="6" t="s">
        <v>23</v>
      </c>
      <c r="D8" s="6" t="s">
        <v>15</v>
      </c>
      <c r="E8" s="6" t="s">
        <v>15</v>
      </c>
    </row>
    <row r="9" spans="1:5" ht="30.75">
      <c r="A9" t="s">
        <v>24</v>
      </c>
      <c r="B9" s="1" t="s">
        <v>25</v>
      </c>
      <c r="D9" t="s">
        <v>21</v>
      </c>
      <c r="E9" t="s">
        <v>21</v>
      </c>
    </row>
    <row r="10" spans="1:5" s="7" customFormat="1">
      <c r="A10" s="7" t="s">
        <v>26</v>
      </c>
      <c r="D10" s="7" t="s">
        <v>8</v>
      </c>
      <c r="E10" s="7" t="s">
        <v>8</v>
      </c>
    </row>
    <row r="11" spans="1:5" ht="45.75">
      <c r="A11" t="s">
        <v>27</v>
      </c>
      <c r="B11" s="1" t="s">
        <v>28</v>
      </c>
      <c r="D11" t="s">
        <v>21</v>
      </c>
      <c r="E11" t="s">
        <v>21</v>
      </c>
    </row>
    <row r="12" spans="1:5" s="6" customFormat="1">
      <c r="A12" s="6" t="s">
        <v>29</v>
      </c>
      <c r="B12" s="6" t="s">
        <v>30</v>
      </c>
      <c r="D12" s="6" t="s">
        <v>15</v>
      </c>
      <c r="E12" s="6" t="s">
        <v>15</v>
      </c>
    </row>
    <row r="13" spans="1:5" ht="30.75">
      <c r="A13" t="s">
        <v>31</v>
      </c>
      <c r="B13" s="1" t="s">
        <v>32</v>
      </c>
      <c r="D13" t="s">
        <v>21</v>
      </c>
      <c r="E13" t="s">
        <v>21</v>
      </c>
    </row>
    <row r="14" spans="1:5" ht="45.75">
      <c r="A14" s="5" t="s">
        <v>33</v>
      </c>
      <c r="B14" s="1" t="s">
        <v>34</v>
      </c>
      <c r="C14" t="s">
        <v>35</v>
      </c>
      <c r="D14" t="s">
        <v>8</v>
      </c>
      <c r="E14" t="s">
        <v>8</v>
      </c>
    </row>
    <row r="15" spans="1:5" ht="60.75">
      <c r="A15" t="s">
        <v>36</v>
      </c>
      <c r="B15" s="1" t="s">
        <v>37</v>
      </c>
      <c r="C15" t="s">
        <v>38</v>
      </c>
      <c r="D15" t="s">
        <v>8</v>
      </c>
      <c r="E15" t="s">
        <v>8</v>
      </c>
    </row>
    <row r="16" spans="1:5" ht="30.75">
      <c r="A16" t="s">
        <v>39</v>
      </c>
      <c r="B16" s="1" t="s">
        <v>40</v>
      </c>
      <c r="C16" t="s">
        <v>38</v>
      </c>
      <c r="D16" t="s">
        <v>21</v>
      </c>
      <c r="E16" t="s">
        <v>21</v>
      </c>
    </row>
    <row r="17" spans="1:5" ht="30.75">
      <c r="A17" t="s">
        <v>41</v>
      </c>
      <c r="B17" s="1" t="s">
        <v>42</v>
      </c>
      <c r="C17" s="1" t="s">
        <v>43</v>
      </c>
      <c r="D17" t="s">
        <v>8</v>
      </c>
      <c r="E17" t="s">
        <v>8</v>
      </c>
    </row>
    <row r="18" spans="1:5" ht="30.75">
      <c r="A18" t="s">
        <v>44</v>
      </c>
      <c r="B18" s="1" t="s">
        <v>45</v>
      </c>
      <c r="D18" t="s">
        <v>21</v>
      </c>
      <c r="E18" t="s">
        <v>21</v>
      </c>
    </row>
    <row r="19" spans="1:5" ht="60.75">
      <c r="A19" t="s">
        <v>46</v>
      </c>
      <c r="B19" s="1" t="s">
        <v>47</v>
      </c>
      <c r="D19" t="s">
        <v>48</v>
      </c>
      <c r="E19" t="s">
        <v>48</v>
      </c>
    </row>
    <row r="20" spans="1:5" ht="45.75">
      <c r="A20" t="s">
        <v>49</v>
      </c>
      <c r="B20" s="1" t="s">
        <v>50</v>
      </c>
      <c r="C20" t="s">
        <v>51</v>
      </c>
      <c r="D20" t="s">
        <v>21</v>
      </c>
      <c r="E20" t="s">
        <v>21</v>
      </c>
    </row>
    <row r="21" spans="1:5">
      <c r="A21" t="s">
        <v>52</v>
      </c>
      <c r="B21" t="s">
        <v>53</v>
      </c>
      <c r="D21" t="s">
        <v>48</v>
      </c>
      <c r="E21" t="s">
        <v>48</v>
      </c>
    </row>
    <row r="22" spans="1:5" s="6" customFormat="1">
      <c r="A22" s="6" t="s">
        <v>54</v>
      </c>
      <c r="B22" s="6" t="s">
        <v>55</v>
      </c>
      <c r="D22" s="6" t="s">
        <v>15</v>
      </c>
      <c r="E22" s="6" t="s">
        <v>15</v>
      </c>
    </row>
    <row r="23" spans="1:5" ht="30.75">
      <c r="A23" t="s">
        <v>56</v>
      </c>
      <c r="B23" s="1" t="s">
        <v>57</v>
      </c>
      <c r="C23" t="s">
        <v>38</v>
      </c>
    </row>
    <row r="24" spans="1:5">
      <c r="A24" t="s">
        <v>58</v>
      </c>
      <c r="B24" t="s">
        <v>59</v>
      </c>
      <c r="D24" t="s">
        <v>48</v>
      </c>
      <c r="E24" t="s">
        <v>48</v>
      </c>
    </row>
    <row r="25" spans="1:5" ht="30.75">
      <c r="A25" t="s">
        <v>60</v>
      </c>
      <c r="B25" s="1" t="s">
        <v>61</v>
      </c>
      <c r="D25" t="s">
        <v>21</v>
      </c>
      <c r="E25" t="s">
        <v>21</v>
      </c>
    </row>
    <row r="26" spans="1:5" ht="45.75">
      <c r="A26" t="s">
        <v>62</v>
      </c>
      <c r="B26" s="1" t="s">
        <v>63</v>
      </c>
      <c r="C26" t="s">
        <v>64</v>
      </c>
      <c r="D26" t="s">
        <v>48</v>
      </c>
      <c r="E26" t="s">
        <v>48</v>
      </c>
    </row>
    <row r="27" spans="1:5" s="6" customFormat="1">
      <c r="A27" s="6" t="s">
        <v>65</v>
      </c>
      <c r="B27" s="6" t="s">
        <v>66</v>
      </c>
      <c r="D27" s="6" t="s">
        <v>15</v>
      </c>
      <c r="E27" s="6" t="s">
        <v>15</v>
      </c>
    </row>
    <row r="28" spans="1:5" ht="30.75">
      <c r="A28" t="s">
        <v>67</v>
      </c>
      <c r="B28" s="1" t="s">
        <v>68</v>
      </c>
      <c r="D28" t="s">
        <v>48</v>
      </c>
      <c r="E28" t="s">
        <v>48</v>
      </c>
    </row>
    <row r="29" spans="1:5" ht="45.75">
      <c r="A29" t="s">
        <v>69</v>
      </c>
      <c r="B29" s="1" t="s">
        <v>70</v>
      </c>
      <c r="D29" t="s">
        <v>48</v>
      </c>
      <c r="E29" t="s">
        <v>48</v>
      </c>
    </row>
    <row r="30" spans="1:5" ht="30.75">
      <c r="A30" t="s">
        <v>71</v>
      </c>
      <c r="B30" s="1" t="s">
        <v>72</v>
      </c>
      <c r="D30" t="s">
        <v>21</v>
      </c>
      <c r="E30" t="s">
        <v>21</v>
      </c>
    </row>
    <row r="31" spans="1:5" ht="30.75">
      <c r="A31" t="s">
        <v>73</v>
      </c>
      <c r="B31" s="1" t="s">
        <v>74</v>
      </c>
      <c r="D31" t="s">
        <v>21</v>
      </c>
      <c r="E31" t="s">
        <v>21</v>
      </c>
    </row>
    <row r="32" spans="1:5" ht="30.75">
      <c r="A32" t="s">
        <v>75</v>
      </c>
      <c r="B32" s="1" t="s">
        <v>76</v>
      </c>
      <c r="D32" t="s">
        <v>8</v>
      </c>
      <c r="E32" t="s">
        <v>8</v>
      </c>
    </row>
    <row r="33" spans="1:5" s="6" customFormat="1">
      <c r="A33" s="6" t="s">
        <v>77</v>
      </c>
      <c r="B33" s="6" t="s">
        <v>78</v>
      </c>
      <c r="D33" s="6" t="s">
        <v>15</v>
      </c>
      <c r="E33" s="6" t="s">
        <v>15</v>
      </c>
    </row>
    <row r="34" spans="1:5" ht="30.75">
      <c r="A34" t="s">
        <v>79</v>
      </c>
      <c r="B34" s="1" t="s">
        <v>80</v>
      </c>
      <c r="D34" t="s">
        <v>48</v>
      </c>
      <c r="E34" t="s">
        <v>48</v>
      </c>
    </row>
    <row r="35" spans="1:5">
      <c r="A35" t="s">
        <v>81</v>
      </c>
      <c r="B35" t="s">
        <v>82</v>
      </c>
      <c r="D35" t="s">
        <v>48</v>
      </c>
      <c r="E35" t="s">
        <v>48</v>
      </c>
    </row>
    <row r="36" spans="1:5" s="6" customFormat="1">
      <c r="A36" s="6" t="s">
        <v>83</v>
      </c>
      <c r="B36" s="6" t="s">
        <v>84</v>
      </c>
      <c r="D36" s="6" t="s">
        <v>15</v>
      </c>
      <c r="E36" s="6" t="s">
        <v>15</v>
      </c>
    </row>
    <row r="37" spans="1:5" s="6" customFormat="1">
      <c r="A37" s="6" t="s">
        <v>85</v>
      </c>
      <c r="B37" s="6" t="s">
        <v>86</v>
      </c>
      <c r="D37" s="6" t="s">
        <v>15</v>
      </c>
      <c r="E37" s="6" t="s">
        <v>15</v>
      </c>
    </row>
    <row r="38" spans="1:5" ht="30.75">
      <c r="A38" t="s">
        <v>87</v>
      </c>
      <c r="B38" s="1" t="s">
        <v>88</v>
      </c>
      <c r="D38" t="s">
        <v>8</v>
      </c>
      <c r="E38" t="s">
        <v>8</v>
      </c>
    </row>
    <row r="39" spans="1:5">
      <c r="A39" t="s">
        <v>89</v>
      </c>
      <c r="B39" t="s">
        <v>90</v>
      </c>
      <c r="D39" t="s">
        <v>8</v>
      </c>
    </row>
    <row r="40" spans="1:5">
      <c r="A40" t="s">
        <v>91</v>
      </c>
      <c r="B40" t="s">
        <v>92</v>
      </c>
      <c r="D40" t="s">
        <v>8</v>
      </c>
      <c r="E40" t="s">
        <v>8</v>
      </c>
    </row>
    <row r="41" spans="1:5">
      <c r="A41" t="s">
        <v>93</v>
      </c>
      <c r="B41" t="s">
        <v>94</v>
      </c>
      <c r="D41" t="s">
        <v>8</v>
      </c>
      <c r="E41" t="s">
        <v>8</v>
      </c>
    </row>
    <row r="42" spans="1:5" ht="30.75">
      <c r="A42" t="s">
        <v>95</v>
      </c>
      <c r="B42" s="1" t="s">
        <v>96</v>
      </c>
      <c r="D42" t="s">
        <v>48</v>
      </c>
      <c r="E42" t="s">
        <v>48</v>
      </c>
    </row>
    <row r="43" spans="1:5">
      <c r="A43" t="s">
        <v>97</v>
      </c>
      <c r="B43" s="1" t="s">
        <v>98</v>
      </c>
      <c r="D43" t="s">
        <v>8</v>
      </c>
      <c r="E43" t="s">
        <v>8</v>
      </c>
    </row>
    <row r="44" spans="1:5">
      <c r="A44" t="s">
        <v>99</v>
      </c>
      <c r="B44" s="1" t="s">
        <v>100</v>
      </c>
      <c r="C44" t="s">
        <v>101</v>
      </c>
      <c r="D44" t="s">
        <v>48</v>
      </c>
      <c r="E44" t="s">
        <v>48</v>
      </c>
    </row>
    <row r="45" spans="1:5">
      <c r="A45" t="s">
        <v>102</v>
      </c>
      <c r="B45" t="s">
        <v>103</v>
      </c>
      <c r="D45" t="s">
        <v>48</v>
      </c>
      <c r="E45" t="s">
        <v>48</v>
      </c>
    </row>
    <row r="46" spans="1:5">
      <c r="A46" t="s">
        <v>104</v>
      </c>
      <c r="B46" s="1"/>
      <c r="D46" t="s">
        <v>8</v>
      </c>
      <c r="E46" t="s">
        <v>8</v>
      </c>
    </row>
    <row r="50" spans="4:8">
      <c r="D50" t="s">
        <v>105</v>
      </c>
    </row>
    <row r="51" spans="4:8">
      <c r="E51" t="s">
        <v>106</v>
      </c>
      <c r="F51">
        <f>COUNTIF(E:E, "dev")</f>
        <v>12</v>
      </c>
    </row>
    <row r="52" spans="4:8">
      <c r="E52" t="s">
        <v>107</v>
      </c>
      <c r="F52">
        <f>COUNTIF(E:E, "BA")</f>
        <v>14</v>
      </c>
    </row>
    <row r="53" spans="4:8">
      <c r="E53" t="s">
        <v>108</v>
      </c>
      <c r="F53">
        <f>COUNTIF(E:E, "QA")</f>
        <v>11</v>
      </c>
      <c r="G53">
        <f>SUM(F51:F53)</f>
        <v>37</v>
      </c>
      <c r="H53">
        <f>SUM(F52:F53)</f>
        <v>25</v>
      </c>
    </row>
    <row r="54" spans="4:8">
      <c r="E54" t="s">
        <v>109</v>
      </c>
      <c r="F54">
        <f>COUNTIF(E:E, "not-present")</f>
        <v>8</v>
      </c>
      <c r="G54">
        <f>SUM(F51:F54)</f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65B-C8CE-4A70-BEF8-E6E92EC7CB53}">
  <dimension ref="A1:AJ12"/>
  <sheetViews>
    <sheetView topLeftCell="G1" workbookViewId="0">
      <selection activeCell="N12" sqref="N12"/>
    </sheetView>
  </sheetViews>
  <sheetFormatPr defaultRowHeight="15"/>
  <cols>
    <col min="1" max="1" width="19.28515625" customWidth="1"/>
    <col min="2" max="2" width="26.5703125" customWidth="1"/>
    <col min="3" max="3" width="26.42578125" customWidth="1"/>
    <col min="4" max="4" width="28.7109375" customWidth="1"/>
    <col min="6" max="6" width="18.7109375" customWidth="1"/>
    <col min="7" max="7" width="37.140625" style="1" customWidth="1"/>
    <col min="8" max="8" width="39.140625" customWidth="1"/>
    <col min="9" max="9" width="24.42578125" customWidth="1"/>
    <col min="10" max="10" width="22.7109375" customWidth="1"/>
    <col min="11" max="11" width="23.140625" customWidth="1"/>
    <col min="12" max="12" width="23.5703125" customWidth="1"/>
    <col min="13" max="13" width="20.5703125" customWidth="1"/>
    <col min="14" max="14" width="20.85546875" customWidth="1"/>
    <col min="15" max="15" width="22.7109375" customWidth="1"/>
    <col min="16" max="16" width="31.140625" customWidth="1"/>
    <col min="17" max="17" width="36.28515625" customWidth="1"/>
    <col min="18" max="18" width="26.140625" customWidth="1"/>
    <col min="19" max="19" width="34.7109375" customWidth="1"/>
    <col min="20" max="20" width="27" customWidth="1"/>
    <col min="21" max="21" width="29.42578125" customWidth="1"/>
    <col min="22" max="22" width="25.7109375" customWidth="1"/>
    <col min="23" max="23" width="20.5703125" customWidth="1"/>
    <col min="24" max="24" width="21.7109375" customWidth="1"/>
    <col min="25" max="25" width="20.85546875" customWidth="1"/>
    <col min="26" max="26" width="21.7109375" customWidth="1"/>
    <col min="27" max="27" width="21.140625" customWidth="1"/>
    <col min="28" max="28" width="22.5703125" customWidth="1"/>
    <col min="29" max="29" width="24.5703125" customWidth="1"/>
    <col min="30" max="30" width="22.28515625" customWidth="1"/>
    <col min="31" max="31" width="13.42578125" customWidth="1"/>
    <col min="32" max="32" width="26" customWidth="1"/>
    <col min="33" max="33" width="14.85546875" customWidth="1"/>
    <col min="35" max="35" width="19.85546875" customWidth="1"/>
  </cols>
  <sheetData>
    <row r="1" spans="1:36" ht="21.75">
      <c r="A1" s="2" t="s">
        <v>110</v>
      </c>
      <c r="B1" s="2" t="s">
        <v>0</v>
      </c>
      <c r="C1" s="2" t="s">
        <v>111</v>
      </c>
      <c r="D1" s="2" t="s">
        <v>112</v>
      </c>
      <c r="E1" s="3" t="s">
        <v>113</v>
      </c>
      <c r="F1" s="3" t="s">
        <v>114</v>
      </c>
      <c r="G1" s="4" t="s">
        <v>115</v>
      </c>
      <c r="H1" s="3" t="s">
        <v>116</v>
      </c>
      <c r="I1" s="3" t="s">
        <v>117</v>
      </c>
      <c r="J1" s="3" t="s">
        <v>118</v>
      </c>
      <c r="K1" s="3" t="s">
        <v>119</v>
      </c>
      <c r="L1" s="3" t="s">
        <v>120</v>
      </c>
      <c r="M1" s="3" t="s">
        <v>121</v>
      </c>
      <c r="N1" s="3" t="s">
        <v>122</v>
      </c>
      <c r="O1" s="3" t="s">
        <v>123</v>
      </c>
      <c r="P1" s="2" t="s">
        <v>124</v>
      </c>
      <c r="Q1" s="4" t="s">
        <v>125</v>
      </c>
      <c r="R1" s="4" t="s">
        <v>126</v>
      </c>
      <c r="S1" s="4" t="s">
        <v>127</v>
      </c>
      <c r="T1" s="4" t="s">
        <v>128</v>
      </c>
      <c r="U1" s="3" t="s">
        <v>129</v>
      </c>
      <c r="V1" s="3" t="s">
        <v>130</v>
      </c>
      <c r="W1" s="2" t="s">
        <v>131</v>
      </c>
      <c r="X1" s="2" t="s">
        <v>132</v>
      </c>
      <c r="Y1" s="2" t="s">
        <v>133</v>
      </c>
      <c r="Z1" s="2" t="s">
        <v>134</v>
      </c>
      <c r="AA1" s="2" t="s">
        <v>135</v>
      </c>
      <c r="AB1" s="2" t="s">
        <v>136</v>
      </c>
      <c r="AC1" s="2" t="s">
        <v>137</v>
      </c>
      <c r="AD1" s="2" t="s">
        <v>138</v>
      </c>
      <c r="AE1" s="2" t="s">
        <v>139</v>
      </c>
      <c r="AF1" s="2" t="s">
        <v>140</v>
      </c>
      <c r="AG1" s="2" t="s">
        <v>141</v>
      </c>
      <c r="AH1" s="2" t="s">
        <v>142</v>
      </c>
      <c r="AI1" s="2" t="s">
        <v>143</v>
      </c>
    </row>
    <row r="2" spans="1:36" s="14" customFormat="1" ht="35.25" customHeight="1">
      <c r="A2" s="8">
        <v>11208000546</v>
      </c>
      <c r="B2" s="8" t="s">
        <v>46</v>
      </c>
      <c r="C2" s="8" t="s">
        <v>144</v>
      </c>
      <c r="D2" s="8" t="s">
        <v>145</v>
      </c>
      <c r="E2" s="8">
        <v>32</v>
      </c>
      <c r="F2" s="8">
        <v>97517625122</v>
      </c>
      <c r="G2" s="15" t="s">
        <v>146</v>
      </c>
      <c r="H2" s="8" t="s">
        <v>147</v>
      </c>
      <c r="I2" s="8" t="s">
        <v>148</v>
      </c>
      <c r="J2" s="8" t="s">
        <v>149</v>
      </c>
      <c r="K2" s="8" t="s">
        <v>150</v>
      </c>
      <c r="L2" s="8" t="s">
        <v>151</v>
      </c>
      <c r="M2" s="8" t="s">
        <v>152</v>
      </c>
      <c r="N2" s="8" t="s">
        <v>153</v>
      </c>
      <c r="O2" s="8" t="s">
        <v>154</v>
      </c>
      <c r="P2" s="9"/>
      <c r="Q2" s="10" t="s">
        <v>155</v>
      </c>
      <c r="R2" s="10" t="s">
        <v>156</v>
      </c>
      <c r="S2" s="10" t="s">
        <v>157</v>
      </c>
      <c r="T2" s="15" t="s">
        <v>158</v>
      </c>
      <c r="U2" s="8" t="b">
        <v>0</v>
      </c>
      <c r="V2" s="8" t="s">
        <v>159</v>
      </c>
      <c r="W2" s="12" t="s">
        <v>160</v>
      </c>
      <c r="X2" s="9"/>
      <c r="Y2" s="12" t="s">
        <v>161</v>
      </c>
      <c r="Z2" s="12" t="s">
        <v>161</v>
      </c>
      <c r="AA2" s="12" t="s">
        <v>162</v>
      </c>
      <c r="AB2" s="13">
        <v>97517703413</v>
      </c>
      <c r="AC2" s="12" t="s">
        <v>163</v>
      </c>
      <c r="AD2" s="12" t="s">
        <v>164</v>
      </c>
      <c r="AE2" s="12" t="s">
        <v>165</v>
      </c>
      <c r="AF2" s="13">
        <v>110189251427</v>
      </c>
      <c r="AG2" s="12" t="s">
        <v>166</v>
      </c>
      <c r="AH2" s="12" t="s">
        <v>167</v>
      </c>
      <c r="AI2" s="12" t="s">
        <v>168</v>
      </c>
    </row>
    <row r="3" spans="1:36" s="14" customFormat="1" ht="39" customHeight="1">
      <c r="A3" s="8">
        <v>11206005505</v>
      </c>
      <c r="B3" s="8" t="s">
        <v>52</v>
      </c>
      <c r="C3" s="8" t="s">
        <v>144</v>
      </c>
      <c r="D3" s="8" t="s">
        <v>169</v>
      </c>
      <c r="E3" s="8">
        <v>23</v>
      </c>
      <c r="F3" s="8">
        <v>97577966722</v>
      </c>
      <c r="G3" s="15" t="s">
        <v>170</v>
      </c>
      <c r="H3" s="8" t="s">
        <v>171</v>
      </c>
      <c r="I3" s="8" t="s">
        <v>148</v>
      </c>
      <c r="J3" s="8" t="s">
        <v>172</v>
      </c>
      <c r="K3" s="8" t="s">
        <v>173</v>
      </c>
      <c r="L3" s="8" t="s">
        <v>174</v>
      </c>
      <c r="M3" s="8" t="s">
        <v>175</v>
      </c>
      <c r="N3" s="8" t="s">
        <v>176</v>
      </c>
      <c r="O3" s="8" t="s">
        <v>177</v>
      </c>
      <c r="P3" s="9"/>
      <c r="Q3" s="10" t="s">
        <v>178</v>
      </c>
      <c r="R3" s="10" t="s">
        <v>179</v>
      </c>
      <c r="S3" s="10" t="s">
        <v>180</v>
      </c>
      <c r="T3" s="11"/>
      <c r="U3" s="8" t="b">
        <v>0</v>
      </c>
      <c r="V3" s="8" t="s">
        <v>159</v>
      </c>
      <c r="W3" s="12" t="s">
        <v>160</v>
      </c>
      <c r="X3" s="9"/>
      <c r="Y3" s="12" t="s">
        <v>161</v>
      </c>
      <c r="Z3" s="12" t="s">
        <v>161</v>
      </c>
      <c r="AA3" s="12" t="s">
        <v>181</v>
      </c>
      <c r="AB3" s="13">
        <v>97517603287</v>
      </c>
      <c r="AC3" s="12" t="s">
        <v>182</v>
      </c>
      <c r="AD3" s="12" t="s">
        <v>183</v>
      </c>
      <c r="AE3" s="9"/>
      <c r="AF3" s="9"/>
      <c r="AG3" s="9"/>
      <c r="AH3" s="12" t="s">
        <v>167</v>
      </c>
      <c r="AI3" s="12" t="s">
        <v>168</v>
      </c>
    </row>
    <row r="4" spans="1:36" s="14" customFormat="1" ht="39.75" customHeight="1">
      <c r="A4" s="8">
        <v>11301003461</v>
      </c>
      <c r="B4" s="8" t="s">
        <v>58</v>
      </c>
      <c r="C4" s="8" t="s">
        <v>184</v>
      </c>
      <c r="D4" s="8" t="s">
        <v>185</v>
      </c>
      <c r="E4" s="8">
        <v>25</v>
      </c>
      <c r="F4" s="8">
        <v>77344794</v>
      </c>
      <c r="G4" s="15"/>
      <c r="H4" s="8" t="s">
        <v>186</v>
      </c>
      <c r="I4" s="8" t="s">
        <v>187</v>
      </c>
      <c r="J4" s="8" t="s">
        <v>188</v>
      </c>
      <c r="K4" s="8" t="s">
        <v>189</v>
      </c>
      <c r="L4" s="8" t="s">
        <v>174</v>
      </c>
      <c r="M4" s="8" t="s">
        <v>175</v>
      </c>
      <c r="N4" s="8" t="s">
        <v>190</v>
      </c>
      <c r="O4" s="8" t="s">
        <v>191</v>
      </c>
      <c r="P4" s="9"/>
      <c r="Q4" s="10" t="s">
        <v>192</v>
      </c>
      <c r="R4" s="10" t="s">
        <v>193</v>
      </c>
      <c r="S4" s="10" t="s">
        <v>194</v>
      </c>
      <c r="T4" s="11"/>
      <c r="U4" s="8" t="b">
        <v>1</v>
      </c>
      <c r="V4" s="8" t="s">
        <v>159</v>
      </c>
      <c r="W4" s="12" t="s">
        <v>160</v>
      </c>
      <c r="X4" s="9"/>
      <c r="Y4" s="12" t="s">
        <v>161</v>
      </c>
      <c r="Z4" s="12" t="s">
        <v>161</v>
      </c>
      <c r="AA4" s="13">
        <v>77308044</v>
      </c>
      <c r="AB4" s="13">
        <v>17524912</v>
      </c>
      <c r="AC4" s="12" t="s">
        <v>182</v>
      </c>
      <c r="AD4" s="12" t="s">
        <v>164</v>
      </c>
      <c r="AE4" s="12" t="s">
        <v>195</v>
      </c>
      <c r="AF4" s="13">
        <v>204194448</v>
      </c>
      <c r="AG4" s="9"/>
      <c r="AH4" s="12" t="s">
        <v>167</v>
      </c>
      <c r="AI4" s="12" t="s">
        <v>196</v>
      </c>
    </row>
    <row r="5" spans="1:36" s="14" customFormat="1" ht="38.25" customHeight="1">
      <c r="A5" s="8">
        <v>12005003174</v>
      </c>
      <c r="B5" s="8" t="s">
        <v>62</v>
      </c>
      <c r="C5" s="8" t="s">
        <v>184</v>
      </c>
      <c r="D5" s="8" t="s">
        <v>197</v>
      </c>
      <c r="E5" s="8">
        <v>25</v>
      </c>
      <c r="F5" s="8">
        <v>97577777495</v>
      </c>
      <c r="G5" s="15"/>
      <c r="H5" s="8" t="s">
        <v>198</v>
      </c>
      <c r="I5" s="8" t="s">
        <v>199</v>
      </c>
      <c r="J5" s="8" t="s">
        <v>200</v>
      </c>
      <c r="K5" s="8" t="s">
        <v>189</v>
      </c>
      <c r="L5" s="8" t="s">
        <v>174</v>
      </c>
      <c r="M5" s="8" t="s">
        <v>175</v>
      </c>
      <c r="N5" s="8" t="s">
        <v>201</v>
      </c>
      <c r="O5" s="8" t="s">
        <v>202</v>
      </c>
      <c r="P5" s="9"/>
      <c r="Q5" s="10" t="s">
        <v>203</v>
      </c>
      <c r="R5" s="10" t="s">
        <v>204</v>
      </c>
      <c r="S5" s="10" t="s">
        <v>205</v>
      </c>
      <c r="T5" s="11"/>
      <c r="U5" s="8" t="b">
        <v>1</v>
      </c>
      <c r="V5" s="8" t="s">
        <v>159</v>
      </c>
      <c r="W5" s="12" t="s">
        <v>160</v>
      </c>
      <c r="X5" s="9"/>
      <c r="Y5" s="12" t="s">
        <v>161</v>
      </c>
      <c r="Z5" s="12" t="s">
        <v>161</v>
      </c>
      <c r="AA5" s="12" t="s">
        <v>206</v>
      </c>
      <c r="AB5" s="13">
        <v>97517392414</v>
      </c>
      <c r="AC5" s="12" t="s">
        <v>207</v>
      </c>
      <c r="AD5" s="12" t="s">
        <v>164</v>
      </c>
      <c r="AE5" s="12" t="s">
        <v>165</v>
      </c>
      <c r="AF5" s="13">
        <v>110180245947</v>
      </c>
      <c r="AG5" s="9"/>
      <c r="AH5" s="12" t="s">
        <v>167</v>
      </c>
      <c r="AI5" s="12" t="s">
        <v>208</v>
      </c>
    </row>
    <row r="6" spans="1:36" s="14" customFormat="1" ht="34.5" customHeight="1">
      <c r="A6" s="8">
        <v>11501002581</v>
      </c>
      <c r="B6" s="8" t="s">
        <v>209</v>
      </c>
      <c r="C6" s="8" t="s">
        <v>144</v>
      </c>
      <c r="D6" s="8" t="s">
        <v>210</v>
      </c>
      <c r="E6" s="8">
        <v>24</v>
      </c>
      <c r="F6" s="8">
        <v>97517311024</v>
      </c>
      <c r="G6" s="15" t="s">
        <v>211</v>
      </c>
      <c r="H6" s="8" t="s">
        <v>212</v>
      </c>
      <c r="I6" s="8" t="s">
        <v>213</v>
      </c>
      <c r="J6" s="8" t="s">
        <v>214</v>
      </c>
      <c r="K6" s="8" t="s">
        <v>189</v>
      </c>
      <c r="L6" s="8" t="s">
        <v>174</v>
      </c>
      <c r="M6" s="8" t="s">
        <v>152</v>
      </c>
      <c r="N6" s="8" t="s">
        <v>215</v>
      </c>
      <c r="O6" s="8" t="s">
        <v>216</v>
      </c>
      <c r="P6" s="9"/>
      <c r="Q6" s="10" t="s">
        <v>217</v>
      </c>
      <c r="R6" s="10" t="s">
        <v>218</v>
      </c>
      <c r="S6" s="10" t="s">
        <v>219</v>
      </c>
      <c r="T6" s="11"/>
      <c r="U6" s="8" t="b">
        <v>0</v>
      </c>
      <c r="V6" s="8" t="s">
        <v>159</v>
      </c>
      <c r="W6" s="12" t="s">
        <v>160</v>
      </c>
      <c r="X6" s="9"/>
      <c r="Y6" s="12" t="s">
        <v>161</v>
      </c>
      <c r="Z6" s="12" t="s">
        <v>161</v>
      </c>
      <c r="AA6" s="12" t="s">
        <v>220</v>
      </c>
      <c r="AB6" s="13">
        <v>97517604865</v>
      </c>
      <c r="AC6" s="12" t="s">
        <v>221</v>
      </c>
      <c r="AD6" s="12" t="s">
        <v>164</v>
      </c>
      <c r="AE6" s="12" t="s">
        <v>165</v>
      </c>
      <c r="AF6" s="13">
        <v>110152614378</v>
      </c>
      <c r="AG6" s="9"/>
      <c r="AH6" s="12" t="s">
        <v>167</v>
      </c>
      <c r="AI6" s="12" t="s">
        <v>168</v>
      </c>
    </row>
    <row r="7" spans="1:36" ht="33.75" customHeight="1">
      <c r="A7" s="8">
        <v>11608002636</v>
      </c>
      <c r="B7" s="8" t="s">
        <v>69</v>
      </c>
      <c r="C7" s="8" t="s">
        <v>144</v>
      </c>
      <c r="D7" s="8" t="s">
        <v>222</v>
      </c>
      <c r="E7" s="8">
        <v>22</v>
      </c>
      <c r="F7" s="8">
        <v>97577230480</v>
      </c>
      <c r="G7" s="15" t="s">
        <v>223</v>
      </c>
      <c r="H7" s="8" t="s">
        <v>224</v>
      </c>
      <c r="I7" s="8" t="s">
        <v>225</v>
      </c>
      <c r="J7" s="8" t="s">
        <v>226</v>
      </c>
      <c r="K7" s="8" t="s">
        <v>189</v>
      </c>
      <c r="L7" s="8" t="s">
        <v>174</v>
      </c>
      <c r="M7" s="8" t="s">
        <v>152</v>
      </c>
      <c r="N7" s="8" t="s">
        <v>227</v>
      </c>
      <c r="O7" s="8" t="s">
        <v>228</v>
      </c>
      <c r="P7" s="9"/>
      <c r="Q7" s="10" t="s">
        <v>229</v>
      </c>
      <c r="R7" s="10" t="s">
        <v>230</v>
      </c>
      <c r="S7" s="10" t="s">
        <v>231</v>
      </c>
      <c r="T7" s="11"/>
      <c r="U7" s="8" t="b">
        <v>0</v>
      </c>
      <c r="V7" s="8" t="s">
        <v>159</v>
      </c>
      <c r="W7" s="12" t="s">
        <v>160</v>
      </c>
      <c r="X7" s="9"/>
      <c r="Y7" s="12" t="s">
        <v>161</v>
      </c>
      <c r="Z7" s="12" t="s">
        <v>161</v>
      </c>
      <c r="AA7" s="13">
        <v>17278430</v>
      </c>
      <c r="AB7" s="12" t="s">
        <v>232</v>
      </c>
      <c r="AC7" s="12" t="s">
        <v>207</v>
      </c>
      <c r="AD7" s="12" t="s">
        <v>164</v>
      </c>
      <c r="AE7" s="12" t="s">
        <v>165</v>
      </c>
      <c r="AF7" s="13">
        <v>110156103994</v>
      </c>
      <c r="AG7" s="9"/>
      <c r="AH7" s="12" t="s">
        <v>167</v>
      </c>
      <c r="AI7" s="12" t="s">
        <v>196</v>
      </c>
      <c r="AJ7" s="14"/>
    </row>
    <row r="8" spans="1:36" s="14" customFormat="1" ht="35.25" customHeight="1">
      <c r="A8" s="8">
        <v>11102006389</v>
      </c>
      <c r="B8" s="8" t="s">
        <v>79</v>
      </c>
      <c r="C8" s="8" t="s">
        <v>144</v>
      </c>
      <c r="D8" s="8" t="s">
        <v>233</v>
      </c>
      <c r="E8" s="8">
        <v>29</v>
      </c>
      <c r="F8" s="8">
        <v>97577477810</v>
      </c>
      <c r="G8" s="15" t="s">
        <v>234</v>
      </c>
      <c r="H8" s="8" t="s">
        <v>235</v>
      </c>
      <c r="I8" s="8" t="s">
        <v>236</v>
      </c>
      <c r="J8" s="8" t="s">
        <v>237</v>
      </c>
      <c r="K8" s="8" t="s">
        <v>150</v>
      </c>
      <c r="L8" s="8" t="s">
        <v>151</v>
      </c>
      <c r="M8" s="8" t="s">
        <v>175</v>
      </c>
      <c r="N8" s="8" t="s">
        <v>238</v>
      </c>
      <c r="O8" s="8" t="s">
        <v>239</v>
      </c>
      <c r="P8" s="9"/>
      <c r="Q8" s="10" t="s">
        <v>240</v>
      </c>
      <c r="R8" s="10" t="s">
        <v>241</v>
      </c>
      <c r="S8" s="10" t="s">
        <v>242</v>
      </c>
      <c r="T8" s="15" t="s">
        <v>243</v>
      </c>
      <c r="U8" s="8" t="b">
        <v>0</v>
      </c>
      <c r="V8" s="8" t="s">
        <v>159</v>
      </c>
      <c r="W8" s="12" t="s">
        <v>160</v>
      </c>
      <c r="X8" s="9"/>
      <c r="Y8" s="12" t="s">
        <v>161</v>
      </c>
      <c r="Z8" s="12" t="s">
        <v>161</v>
      </c>
      <c r="AA8" s="12" t="s">
        <v>244</v>
      </c>
      <c r="AB8" s="13">
        <v>17429408</v>
      </c>
      <c r="AC8" s="12" t="s">
        <v>163</v>
      </c>
      <c r="AD8" s="12" t="s">
        <v>245</v>
      </c>
      <c r="AE8" s="12" t="s">
        <v>165</v>
      </c>
      <c r="AF8" s="13">
        <v>110127524616</v>
      </c>
      <c r="AG8" s="12" t="s">
        <v>246</v>
      </c>
      <c r="AH8" s="12" t="s">
        <v>167</v>
      </c>
      <c r="AI8" s="12" t="s">
        <v>196</v>
      </c>
    </row>
    <row r="9" spans="1:36" s="14" customFormat="1" ht="36" customHeight="1">
      <c r="A9" s="8">
        <v>11503004814</v>
      </c>
      <c r="B9" s="8" t="s">
        <v>81</v>
      </c>
      <c r="C9" s="8" t="s">
        <v>144</v>
      </c>
      <c r="D9" s="8" t="s">
        <v>247</v>
      </c>
      <c r="E9" s="8">
        <v>22</v>
      </c>
      <c r="F9" s="8">
        <v>77218121</v>
      </c>
      <c r="G9" s="15"/>
      <c r="H9" s="8" t="s">
        <v>248</v>
      </c>
      <c r="I9" s="8" t="s">
        <v>213</v>
      </c>
      <c r="J9" s="8" t="s">
        <v>249</v>
      </c>
      <c r="K9" s="8" t="s">
        <v>189</v>
      </c>
      <c r="L9" s="8" t="s">
        <v>174</v>
      </c>
      <c r="M9" s="8" t="s">
        <v>175</v>
      </c>
      <c r="N9" s="8" t="s">
        <v>250</v>
      </c>
      <c r="O9" s="8" t="s">
        <v>251</v>
      </c>
      <c r="P9" s="9"/>
      <c r="Q9" s="10" t="s">
        <v>252</v>
      </c>
      <c r="R9" s="10" t="s">
        <v>253</v>
      </c>
      <c r="S9" s="10" t="s">
        <v>254</v>
      </c>
      <c r="T9" s="11"/>
      <c r="U9" s="8" t="b">
        <v>0</v>
      </c>
      <c r="V9" s="8" t="s">
        <v>159</v>
      </c>
      <c r="W9" s="12" t="s">
        <v>160</v>
      </c>
      <c r="X9" s="9"/>
      <c r="Y9" s="12" t="s">
        <v>161</v>
      </c>
      <c r="Z9" s="12" t="s">
        <v>161</v>
      </c>
      <c r="AA9" s="12" t="s">
        <v>255</v>
      </c>
      <c r="AB9" s="13">
        <f>97517684866</f>
        <v>97517684866</v>
      </c>
      <c r="AC9" s="12" t="s">
        <v>182</v>
      </c>
      <c r="AD9" s="12" t="s">
        <v>164</v>
      </c>
      <c r="AE9" s="12" t="s">
        <v>165</v>
      </c>
      <c r="AF9" s="13">
        <v>110181781885</v>
      </c>
      <c r="AG9" s="9"/>
      <c r="AH9" s="12" t="s">
        <v>167</v>
      </c>
      <c r="AI9" s="12" t="s">
        <v>196</v>
      </c>
    </row>
    <row r="10" spans="1:36" s="14" customFormat="1" ht="29.25" customHeight="1">
      <c r="A10" s="8">
        <v>12008003646</v>
      </c>
      <c r="B10" s="8" t="s">
        <v>95</v>
      </c>
      <c r="C10" s="8" t="s">
        <v>144</v>
      </c>
      <c r="D10" s="8" t="s">
        <v>256</v>
      </c>
      <c r="E10" s="8">
        <v>37</v>
      </c>
      <c r="F10" s="8">
        <v>17829052</v>
      </c>
      <c r="G10" s="15" t="s">
        <v>257</v>
      </c>
      <c r="H10" s="8" t="s">
        <v>258</v>
      </c>
      <c r="I10" s="8" t="s">
        <v>199</v>
      </c>
      <c r="J10" s="8" t="s">
        <v>172</v>
      </c>
      <c r="K10" s="8" t="s">
        <v>173</v>
      </c>
      <c r="L10" s="8" t="s">
        <v>259</v>
      </c>
      <c r="M10" s="8" t="s">
        <v>175</v>
      </c>
      <c r="N10" s="8" t="s">
        <v>260</v>
      </c>
      <c r="O10" s="8" t="s">
        <v>261</v>
      </c>
      <c r="P10" s="9"/>
      <c r="Q10" s="10" t="s">
        <v>262</v>
      </c>
      <c r="R10" s="10" t="s">
        <v>263</v>
      </c>
      <c r="S10" s="10" t="s">
        <v>264</v>
      </c>
      <c r="T10" s="15" t="s">
        <v>265</v>
      </c>
      <c r="U10" s="8" t="b">
        <v>1</v>
      </c>
      <c r="V10" s="8" t="s">
        <v>159</v>
      </c>
      <c r="W10" s="12" t="s">
        <v>160</v>
      </c>
      <c r="X10" s="9"/>
      <c r="Y10" s="12" t="s">
        <v>161</v>
      </c>
      <c r="Z10" s="12" t="s">
        <v>161</v>
      </c>
      <c r="AA10" s="12" t="s">
        <v>266</v>
      </c>
      <c r="AB10" s="13">
        <v>17917463</v>
      </c>
      <c r="AC10" s="12" t="s">
        <v>267</v>
      </c>
      <c r="AD10" s="12" t="s">
        <v>164</v>
      </c>
      <c r="AE10" s="12" t="s">
        <v>165</v>
      </c>
      <c r="AF10" s="13">
        <v>100100197735</v>
      </c>
      <c r="AG10" s="12" t="s">
        <v>268</v>
      </c>
      <c r="AH10" s="12" t="s">
        <v>167</v>
      </c>
      <c r="AI10" s="12" t="s">
        <v>269</v>
      </c>
    </row>
    <row r="11" spans="1:36" s="14" customFormat="1" ht="34.5" customHeight="1">
      <c r="A11" s="8">
        <v>11410004075</v>
      </c>
      <c r="B11" s="8" t="s">
        <v>270</v>
      </c>
      <c r="C11" s="8" t="s">
        <v>144</v>
      </c>
      <c r="D11" s="8" t="s">
        <v>271</v>
      </c>
      <c r="E11" s="8">
        <v>23</v>
      </c>
      <c r="F11" s="8">
        <v>97517864637</v>
      </c>
      <c r="G11" s="15" t="s">
        <v>272</v>
      </c>
      <c r="H11" s="8" t="s">
        <v>273</v>
      </c>
      <c r="I11" s="8" t="s">
        <v>274</v>
      </c>
      <c r="J11" s="8" t="s">
        <v>275</v>
      </c>
      <c r="K11" s="8" t="s">
        <v>189</v>
      </c>
      <c r="L11" s="8" t="s">
        <v>174</v>
      </c>
      <c r="M11" s="8" t="s">
        <v>175</v>
      </c>
      <c r="N11" s="8" t="s">
        <v>276</v>
      </c>
      <c r="O11" s="8" t="s">
        <v>277</v>
      </c>
      <c r="P11" s="9"/>
      <c r="Q11" s="10" t="s">
        <v>278</v>
      </c>
      <c r="R11" s="10" t="s">
        <v>279</v>
      </c>
      <c r="S11" s="10" t="s">
        <v>280</v>
      </c>
      <c r="T11" s="11"/>
      <c r="U11" s="8" t="b">
        <v>0</v>
      </c>
      <c r="V11" s="8" t="s">
        <v>159</v>
      </c>
      <c r="W11" s="12" t="s">
        <v>160</v>
      </c>
      <c r="X11" s="9"/>
      <c r="Y11" s="12" t="s">
        <v>161</v>
      </c>
      <c r="Z11" s="12" t="s">
        <v>161</v>
      </c>
      <c r="AA11" s="12" t="s">
        <v>281</v>
      </c>
      <c r="AB11" s="13">
        <v>97577292610</v>
      </c>
      <c r="AC11" s="12" t="s">
        <v>221</v>
      </c>
      <c r="AD11" s="12" t="s">
        <v>282</v>
      </c>
      <c r="AE11" s="9"/>
      <c r="AF11" s="9"/>
      <c r="AG11" s="9"/>
      <c r="AH11" s="12" t="s">
        <v>167</v>
      </c>
      <c r="AI11" s="12" t="s">
        <v>269</v>
      </c>
    </row>
    <row r="12" spans="1:36" s="14" customFormat="1" ht="35.25" customHeight="1">
      <c r="A12" s="8">
        <v>11501003508</v>
      </c>
      <c r="B12" s="8" t="s">
        <v>102</v>
      </c>
      <c r="C12" s="8" t="s">
        <v>144</v>
      </c>
      <c r="D12" s="8" t="s">
        <v>283</v>
      </c>
      <c r="E12" s="8">
        <v>22</v>
      </c>
      <c r="F12" s="8">
        <v>17989729</v>
      </c>
      <c r="G12" s="15" t="s">
        <v>284</v>
      </c>
      <c r="H12" s="8" t="s">
        <v>285</v>
      </c>
      <c r="I12" s="8" t="s">
        <v>213</v>
      </c>
      <c r="J12" s="8" t="s">
        <v>172</v>
      </c>
      <c r="K12" s="8" t="s">
        <v>189</v>
      </c>
      <c r="L12" s="8" t="s">
        <v>174</v>
      </c>
      <c r="M12" s="8" t="s">
        <v>152</v>
      </c>
      <c r="N12" s="8" t="s">
        <v>286</v>
      </c>
      <c r="O12" s="8" t="s">
        <v>287</v>
      </c>
      <c r="P12" s="9"/>
      <c r="Q12" s="10" t="s">
        <v>288</v>
      </c>
      <c r="R12" s="10" t="s">
        <v>289</v>
      </c>
      <c r="S12" s="10" t="s">
        <v>290</v>
      </c>
      <c r="T12" s="11"/>
      <c r="U12" s="8" t="b">
        <v>1</v>
      </c>
      <c r="V12" s="8" t="s">
        <v>159</v>
      </c>
      <c r="W12" s="12" t="s">
        <v>160</v>
      </c>
      <c r="X12" s="9"/>
      <c r="Y12" s="12" t="s">
        <v>161</v>
      </c>
      <c r="Z12" s="12" t="s">
        <v>161</v>
      </c>
      <c r="AA12" s="12" t="s">
        <v>291</v>
      </c>
      <c r="AB12" s="13">
        <v>17702873</v>
      </c>
      <c r="AC12" s="12" t="s">
        <v>221</v>
      </c>
      <c r="AD12" s="12" t="s">
        <v>183</v>
      </c>
      <c r="AE12" s="12" t="s">
        <v>165</v>
      </c>
      <c r="AF12" s="13">
        <v>110106749422</v>
      </c>
      <c r="AG12" s="9"/>
      <c r="AH12" s="12" t="s">
        <v>167</v>
      </c>
      <c r="AI12" s="12" t="s">
        <v>208</v>
      </c>
    </row>
  </sheetData>
  <hyperlinks>
    <hyperlink ref="Q2" r:id="rId1" xr:uid="{7A8B5CFD-4FBA-4768-8FAF-03513FF48B64}"/>
    <hyperlink ref="R2" r:id="rId2" xr:uid="{0B022882-244A-4A2C-8D73-BCE3F7129273}"/>
    <hyperlink ref="S2" r:id="rId3" xr:uid="{87DD2635-89EF-4E48-A156-448CA898E788}"/>
    <hyperlink ref="Q3" r:id="rId4" xr:uid="{D1E84E51-2D4A-49DA-800B-EF3CE57E8BDE}"/>
    <hyperlink ref="R3" r:id="rId5" xr:uid="{C244632C-5D9A-4481-AA33-7618AB6A3876}"/>
    <hyperlink ref="S3" r:id="rId6" xr:uid="{46E15F63-F90F-4E95-9845-5A2DEC980515}"/>
    <hyperlink ref="Q4" r:id="rId7" xr:uid="{DB1C9A17-C7DE-415E-ACF9-B975553B7307}"/>
    <hyperlink ref="R4" r:id="rId8" xr:uid="{0DF26901-AD0C-4C8F-BFE1-ED7062035D03}"/>
    <hyperlink ref="S4" r:id="rId9" xr:uid="{6988BDAA-CA08-49BE-8B4A-61DE91022794}"/>
    <hyperlink ref="Q5" r:id="rId10" xr:uid="{130DC225-3F07-4BA9-8AEE-FF92EF7C959D}"/>
    <hyperlink ref="R5" r:id="rId11" xr:uid="{EEE2A62B-B0B9-423D-A907-3E1C5D19ED9E}"/>
    <hyperlink ref="S5" r:id="rId12" xr:uid="{82C05C3C-87F2-4529-9E50-599E66344EB7}"/>
    <hyperlink ref="Q6" r:id="rId13" xr:uid="{844AED1F-0EC7-492E-91F6-3717A44CCE9B}"/>
    <hyperlink ref="R6" r:id="rId14" xr:uid="{F02658FF-B422-499D-9164-CEB017E2A6F9}"/>
    <hyperlink ref="S6" r:id="rId15" xr:uid="{7C1A2B8B-E916-4A43-8DE3-5C8705210975}"/>
    <hyperlink ref="Q7" r:id="rId16" xr:uid="{B93782CA-8D7C-4579-B672-DA0C81BE0307}"/>
    <hyperlink ref="R7" r:id="rId17" xr:uid="{8311EA5F-D5D8-4A53-8113-C05D70FF40D5}"/>
    <hyperlink ref="S7" r:id="rId18" xr:uid="{CA24A2B0-19A3-4B1C-BDF0-E6BF28567A67}"/>
    <hyperlink ref="Q8" r:id="rId19" xr:uid="{66B63A83-2383-43D2-B9AC-63034B555CD0}"/>
    <hyperlink ref="R8" r:id="rId20" xr:uid="{0D1AF5A9-F16C-42A5-B97C-AEB5FB3C1EE5}"/>
    <hyperlink ref="S8" r:id="rId21" xr:uid="{27459E41-6F1B-4E15-B01F-D5EA4F317ED5}"/>
    <hyperlink ref="Q9" r:id="rId22" xr:uid="{C5C85D6A-3D16-4BB7-9BF2-1D55F58EE06F}"/>
    <hyperlink ref="R9" r:id="rId23" xr:uid="{7F916504-C336-4480-92EF-36820F153706}"/>
    <hyperlink ref="S9" r:id="rId24" xr:uid="{3387C7B0-755E-46B5-B260-42A2CF920634}"/>
    <hyperlink ref="Q10" r:id="rId25" xr:uid="{AC598D35-007C-4CBC-89B6-B475FD131627}"/>
    <hyperlink ref="R10" r:id="rId26" xr:uid="{98BBF1A4-C870-4260-B85A-2E681EB8D503}"/>
    <hyperlink ref="S10" r:id="rId27" xr:uid="{EF91CA32-6343-44AA-8668-169D8A59625C}"/>
    <hyperlink ref="Q11" r:id="rId28" xr:uid="{C4542FFC-A9D7-42A7-98AC-F9E7D1AA87F0}"/>
    <hyperlink ref="R11" r:id="rId29" xr:uid="{C1ACECE4-7517-4A90-9502-CA363387F86D}"/>
    <hyperlink ref="S11" r:id="rId30" xr:uid="{067E1B21-BCDB-49B4-A5EE-4E8003802CA1}"/>
    <hyperlink ref="Q12" r:id="rId31" xr:uid="{05894257-3DCC-44D7-9004-289975DDAE45}"/>
    <hyperlink ref="R12" r:id="rId32" xr:uid="{3422EF82-D7BA-4E32-8622-49035436533F}"/>
    <hyperlink ref="S12" r:id="rId33" xr:uid="{89119529-5D54-4AFF-A302-EDB59C529476}"/>
  </hyperlinks>
  <pageMargins left="0.7" right="0.7" top="0.75" bottom="0.75" header="0.3" footer="0.3"/>
  <tableParts count="1">
    <tablePart r:id="rId3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2026-04-17T03:43:01Z</dcterms:created>
  <dcterms:modified xsi:type="dcterms:W3CDTF">2026-04-19T05:31:29Z</dcterms:modified>
  <cp:category/>
  <cp:contentStatus/>
</cp:coreProperties>
</file>