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F9432193-8C87-4507-B94A-4A4A4803EC93}" xr6:coauthVersionLast="47" xr6:coauthVersionMax="47" xr10:uidLastSave="{00000000-0000-0000-0000-000000000000}"/>
  <bookViews>
    <workbookView xWindow="240" yWindow="105" windowWidth="14805" windowHeight="8010" firstSheet="3" activeTab="2" xr2:uid="{00000000-000D-0000-FFFF-FFFF00000000}"/>
  </bookViews>
  <sheets>
    <sheet name="dev-ba-spec-assignment" sheetId="4" r:id="rId1"/>
    <sheet name="1-to1-interview" sheetId="1" r:id="rId2"/>
    <sheet name="BA Track" sheetId="6" r:id="rId3"/>
    <sheet name="QA Track" sheetId="5" r:id="rId4"/>
    <sheet name="Dev Track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F52" i="1"/>
  <c r="F54" i="1"/>
  <c r="F53" i="1"/>
  <c r="F51" i="1"/>
  <c r="AB17" i="3"/>
  <c r="H55" i="1"/>
  <c r="AA9" i="3"/>
  <c r="H56" i="1" l="1"/>
</calcChain>
</file>

<file path=xl/sharedStrings.xml><?xml version="1.0" encoding="utf-8"?>
<sst xmlns="http://schemas.openxmlformats.org/spreadsheetml/2006/main" count="1352" uniqueCount="600">
  <si>
    <t>Name</t>
  </si>
  <si>
    <t>General Notes</t>
  </si>
  <si>
    <t>Vertical notes</t>
  </si>
  <si>
    <t>Vertical selected by Pelsup</t>
  </si>
  <si>
    <t>Vertical assigned</t>
  </si>
  <si>
    <t>Chedup Tamang</t>
  </si>
  <si>
    <t xml:space="preserve">Why Pelsung? - could gain some knowledge instead of just staying at home 
Why SELISE mini cohort - Everyone is talkign about AI, wanted to be able to use AI and code after 2 months, thought BA was about business anatytics as in BI and wanted to know about BA. Wanted to gain AI knowledsge. 
</t>
  </si>
  <si>
    <t>Interested but not sure whether he will be able to actually do it? 
BA: BA nay be good as it may help him in future.</t>
  </si>
  <si>
    <t>BA</t>
  </si>
  <si>
    <t>Dawa Zangmo</t>
  </si>
  <si>
    <t xml:space="preserve">Was noted for admin position. 
Why pelsung: employer was not very supportive, worked as procurement officer in Serja Beverages
</t>
  </si>
  <si>
    <t>Deki Pelden</t>
  </si>
  <si>
    <t>Already employed, needs to go back, civil servent. 
why SELISE: she saw project management in SELISE</t>
  </si>
  <si>
    <t>Jamyang Sherab</t>
  </si>
  <si>
    <t>not in selise cohort</t>
  </si>
  <si>
    <t>not-present</t>
  </si>
  <si>
    <t>Jigme Choden</t>
  </si>
  <si>
    <t>Employed at DGPC, Going back to DGPC.
Why SELISE: thought it will help her in her daily work</t>
  </si>
  <si>
    <t>Looks like we forgot to record what she selected here, follow up</t>
  </si>
  <si>
    <t>qa</t>
  </si>
  <si>
    <t>QA</t>
  </si>
  <si>
    <t>Karma</t>
  </si>
  <si>
    <t>Tour Guide, Free lancer 
Worked in national assembly, was in civil servent before.</t>
  </si>
  <si>
    <t>DEV</t>
  </si>
  <si>
    <t>Karma Lhamo</t>
  </si>
  <si>
    <t xml:space="preserve">withdrawn </t>
  </si>
  <si>
    <t>Karma Yezer</t>
  </si>
  <si>
    <t>Why SELSIE: Saw UX design
Planning to go to Australia</t>
  </si>
  <si>
    <t>Kezang Nima</t>
  </si>
  <si>
    <t>Kinga Wangmo</t>
  </si>
  <si>
    <t xml:space="preserve">Employed at DGPC, Going back to DGPC.
Why SELISE: wanted to learn IT and apply at work
why Pelsung: </t>
  </si>
  <si>
    <t xml:space="preserve">Kinley Dorji </t>
  </si>
  <si>
    <t xml:space="preserve">not present, BOB interview </t>
  </si>
  <si>
    <t>Leki Choden</t>
  </si>
  <si>
    <t>Why SELISE: Engineering is related to digital, data management, design CAD design, Saw team management
Was working but resigned and will look for opportunities in future</t>
  </si>
  <si>
    <t>Lhakpa Tshering Nesor</t>
  </si>
  <si>
    <t>Tour Guide
Will go back after Pelsung
SELISE: was second option</t>
  </si>
  <si>
    <t xml:space="preserve">Said BA - but finds difficulty understanding foundational classes </t>
  </si>
  <si>
    <t>Man Dhoj Raika</t>
  </si>
  <si>
    <t>Resigned as finance office 
Why SELISE: wanted to know about AI and digital and all, wanted to improve for next phase of career
Expactation after this: will give 100%
After pelsung: will run farm</t>
  </si>
  <si>
    <t xml:space="preserve">Said BA but </t>
  </si>
  <si>
    <t>applied for transfer from SELISE to Inovate, approved from SELISE side</t>
  </si>
  <si>
    <t>Neten Dema</t>
  </si>
  <si>
    <t xml:space="preserve">Employed at NPPF, 
Why SELISE: saw business analyst and thout as finance analyst. </t>
  </si>
  <si>
    <t>Nidup Dorji 49</t>
  </si>
  <si>
    <t xml:space="preserve">Plans after Pelsung: nothing much 
Why SELISE: </t>
  </si>
  <si>
    <t>BA code will be too hard, BA enjoys doing spec
Speaking is a problem</t>
  </si>
  <si>
    <t>Nidup Dorji 52</t>
  </si>
  <si>
    <t>Working in BNB, going Back 
SELISE: BA and project management - thought it will be relevent to him</t>
  </si>
  <si>
    <t>Nima Yoezer</t>
  </si>
  <si>
    <t>Employed and going back
SELISE: saw project management and thought it was relevent
Very enthusiastic talking about tech as in phones and laptops said did not get opportunities
Talks a lot</t>
  </si>
  <si>
    <t>Phub Lham</t>
  </si>
  <si>
    <t>Currently not employed
SELISE: explore about tech
Does not speaks much</t>
  </si>
  <si>
    <t>check her assignment for dev</t>
  </si>
  <si>
    <t>Puran Adhikari</t>
  </si>
  <si>
    <t>not here but informed</t>
  </si>
  <si>
    <t>Rigzang Dorji</t>
  </si>
  <si>
    <t>changed to different sub cohort</t>
  </si>
  <si>
    <t>Rinzin Seldon</t>
  </si>
  <si>
    <t>Not employed
SELISE: mistaken for SELISE for SHAMA</t>
  </si>
  <si>
    <t>Sabika Chhetri</t>
  </si>
  <si>
    <t>not here informed</t>
  </si>
  <si>
    <t>Sangay Choda</t>
  </si>
  <si>
    <t>currently employed but looking for opportunities, east bhutan end
Why SELISE: BCA graduate but wanted to learn and continue</t>
  </si>
  <si>
    <t>Sangay Choden</t>
  </si>
  <si>
    <t>Not employed 
BCA
SELISE: related to degree</t>
  </si>
  <si>
    <t>Chekc if she can get prio Laptop</t>
  </si>
  <si>
    <t>Sonam Dendup</t>
  </si>
  <si>
    <t>not here, not present here, CV check</t>
  </si>
  <si>
    <t>Sonam Rigden thinley</t>
  </si>
  <si>
    <t>SELISE: wanted to learn more. 
Not employed</t>
  </si>
  <si>
    <t>Sonam Rinchen</t>
  </si>
  <si>
    <t>A bit experienced
Not employed
Selise Potential</t>
  </si>
  <si>
    <t>Sonam Rinzin</t>
  </si>
  <si>
    <t>Selected corporate: but landed at SELISE blessing in des
Personally checked on HTML</t>
  </si>
  <si>
    <t>Sonam Tshering</t>
  </si>
  <si>
    <t>Employed in BNB - Going back 
why SELISE: confused with BA thing and finance</t>
  </si>
  <si>
    <t>Subhadra Ghallay</t>
  </si>
  <si>
    <t>Not Employed
BA general course with English</t>
  </si>
  <si>
    <t>Tashi Nima</t>
  </si>
  <si>
    <t>Tashi Phuntsho</t>
  </si>
  <si>
    <t>Currently employed, Dungsam Ploymer - 
Looking to change if opportunity comes.</t>
  </si>
  <si>
    <t>Thinley Dorji</t>
  </si>
  <si>
    <t>SELISE: was interested in website development</t>
  </si>
  <si>
    <t>Thinley Pem</t>
  </si>
  <si>
    <t>not here, leave</t>
  </si>
  <si>
    <t>ba</t>
  </si>
  <si>
    <t xml:space="preserve">THRINLAY DHENDUP WANGCHEN </t>
  </si>
  <si>
    <t>Tshering Peldon</t>
  </si>
  <si>
    <t>SELISE: looked interesting, saw business analyst 
open for SELISE opportunities</t>
  </si>
  <si>
    <t>Tsewang Choden</t>
  </si>
  <si>
    <t>Working in BPC, going back.</t>
  </si>
  <si>
    <t>Ugyen choden</t>
  </si>
  <si>
    <t>General Shopkeeper, Nanglam</t>
  </si>
  <si>
    <t>Ugyen Jamtsho</t>
  </si>
  <si>
    <t>SELISE: new thing</t>
  </si>
  <si>
    <t>Ugyen Tshering</t>
  </si>
  <si>
    <t>Speaks a lot
SELISE: software</t>
  </si>
  <si>
    <t>Ugyen Tshomo</t>
  </si>
  <si>
    <t>SELISE: saw business and management</t>
  </si>
  <si>
    <t>Yeshey wangchuk</t>
  </si>
  <si>
    <t>SELISE: learned programming and website dev in past</t>
  </si>
  <si>
    <t>Check assignment once.</t>
  </si>
  <si>
    <t>Yeshi Dorji</t>
  </si>
  <si>
    <t xml:space="preserve">worked at NGN </t>
  </si>
  <si>
    <t>Yeser pelzang</t>
  </si>
  <si>
    <t>Sonam choki</t>
  </si>
  <si>
    <t xml:space="preserve"> </t>
  </si>
  <si>
    <t>devs</t>
  </si>
  <si>
    <t>bas</t>
  </si>
  <si>
    <t>qas</t>
  </si>
  <si>
    <t>absents</t>
  </si>
  <si>
    <t>total</t>
  </si>
  <si>
    <t>BA+QA</t>
  </si>
  <si>
    <t>IN</t>
  </si>
  <si>
    <t>CID</t>
  </si>
  <si>
    <t>Gender</t>
  </si>
  <si>
    <t>DOB</t>
  </si>
  <si>
    <t>Age</t>
  </si>
  <si>
    <t>Phone Number</t>
  </si>
  <si>
    <t>Email</t>
  </si>
  <si>
    <t>Permanent Address</t>
  </si>
  <si>
    <t>Present Address</t>
  </si>
  <si>
    <t>Marital Status</t>
  </si>
  <si>
    <t>Occupation</t>
  </si>
  <si>
    <t>Qualification</t>
  </si>
  <si>
    <t>Course Name</t>
  </si>
  <si>
    <t>Institution Name</t>
  </si>
  <si>
    <t>instution_country</t>
  </si>
  <si>
    <t>Qualification Certificate</t>
  </si>
  <si>
    <t>CV</t>
  </si>
  <si>
    <t>Photo</t>
  </si>
  <si>
    <t>NOC</t>
  </si>
  <si>
    <t>Desuung Status</t>
  </si>
  <si>
    <t>Gyalsup Status</t>
  </si>
  <si>
    <t>Medical Condition</t>
  </si>
  <si>
    <t>Medical Remarks</t>
  </si>
  <si>
    <t>Medical Screening</t>
  </si>
  <si>
    <t>Drug Screening</t>
  </si>
  <si>
    <t>Emergency Contact Name</t>
  </si>
  <si>
    <t>Emergency Contact Phone</t>
  </si>
  <si>
    <t>Emergency Contact Relationship</t>
  </si>
  <si>
    <t>Blood Group</t>
  </si>
  <si>
    <t>Bank</t>
  </si>
  <si>
    <t>Bank Account Number</t>
  </si>
  <si>
    <t>TPN</t>
  </si>
  <si>
    <t>Program</t>
  </si>
  <si>
    <t>Company</t>
  </si>
  <si>
    <t>M</t>
  </si>
  <si>
    <t>2003-05-03 00:00:00.000Z</t>
  </si>
  <si>
    <t>kezangnima2003@gmail.com</t>
  </si>
  <si>
    <t>Pemagatshel</t>
  </si>
  <si>
    <t>Thimphu Thromde, Thimphu</t>
  </si>
  <si>
    <t>single</t>
  </si>
  <si>
    <t>unemployed</t>
  </si>
  <si>
    <t>bachelor</t>
  </si>
  <si>
    <t>Bachelor of business Administration</t>
  </si>
  <si>
    <t>Chandigarh University</t>
  </si>
  <si>
    <t>https://api.pelsung.bt/api/files/pbc_2689671926/czud1ae2hn9mkoc/10904003369_certificate_pgj53xw9up.pdf</t>
  </si>
  <si>
    <t>https://api.pelsung.bt/api/files/pbc_2689671926/czud1ae2hn9mkoc/10904003369_cv_6ggq0c3c8i.pdf</t>
  </si>
  <si>
    <t>https://api.pelsung.bt/api/files/pbc_2689671926/czud1ae2hn9mkoc/10904003369_photo_qic9zl4wmp.jpg</t>
  </si>
  <si>
    <t>no</t>
  </si>
  <si>
    <t>none</t>
  </si>
  <si>
    <t>passed</t>
  </si>
  <si>
    <t>Kezang Dorji</t>
  </si>
  <si>
    <t>brother</t>
  </si>
  <si>
    <t>O+</t>
  </si>
  <si>
    <t>DK Bank</t>
  </si>
  <si>
    <t>SELISE</t>
  </si>
  <si>
    <t>Taag</t>
  </si>
  <si>
    <t>2000-01-23 00:00:00.000Z</t>
  </si>
  <si>
    <t>chedup1923@gmail.com</t>
  </si>
  <si>
    <t>Sarpang</t>
  </si>
  <si>
    <t>Dekiling, Sarpang</t>
  </si>
  <si>
    <t>B.Com Finance</t>
  </si>
  <si>
    <t>Norbuling Rigter College</t>
  </si>
  <si>
    <t>https://api.pelsung.bt/api/files/pbc_2689671926/tm1fvo6i1hfy1zu/11305000748_certificate_3wwa1eu2g5.pdf</t>
  </si>
  <si>
    <t>https://api.pelsung.bt/api/files/pbc_2689671926/tm1fvo6i1hfy1zu/11305000748_cv_ge3a66e9th.pdf</t>
  </si>
  <si>
    <t>https://api.pelsung.bt/api/files/pbc_2689671926/tm1fvo6i1hfy1zu/11305000748_photo_yxvbjx8sjf.jpeg</t>
  </si>
  <si>
    <t>Lhakpa Dorji Parkhin Tamang</t>
  </si>
  <si>
    <t>father</t>
  </si>
  <si>
    <t>B+</t>
  </si>
  <si>
    <t>Singye</t>
  </si>
  <si>
    <t>F</t>
  </si>
  <si>
    <t>1998-09-28 00:00:00.000Z</t>
  </si>
  <si>
    <t>zangmodawa74@gmail.com</t>
  </si>
  <si>
    <t>Trongsa</t>
  </si>
  <si>
    <t>Dewathang, Samdrup Jongkhar</t>
  </si>
  <si>
    <t>married</t>
  </si>
  <si>
    <t>diploma</t>
  </si>
  <si>
    <t>Diploma in Materials and Procurement Management</t>
  </si>
  <si>
    <t>Jigme Namgyel Engineering College</t>
  </si>
  <si>
    <t>https://api.pelsung.bt/api/files/pbc_2689671926/xf7yu6r1zu3gqx4/11702001098_certificate_128axtbaks.pdf</t>
  </si>
  <si>
    <t>D</t>
  </si>
  <si>
    <t>https://api.pelsung.bt/api/files/pbc_2689671926/xf7yu6r1zu3gqx4/11702001098_photo_ufm53v87o3.JPG</t>
  </si>
  <si>
    <t>Karma Jigme Wangchuk</t>
  </si>
  <si>
    <t>spouse</t>
  </si>
  <si>
    <t>A+</t>
  </si>
  <si>
    <t>DCP63992</t>
  </si>
  <si>
    <t>Chhung</t>
  </si>
  <si>
    <t>2001-12-15 00:00:00.000Z</t>
  </si>
  <si>
    <t>dpelden@haa.gov.bt</t>
  </si>
  <si>
    <t>Samtse</t>
  </si>
  <si>
    <t>Katsho, Haa</t>
  </si>
  <si>
    <t>civil</t>
  </si>
  <si>
    <t>Bachelors of Science in Environmental Science</t>
  </si>
  <si>
    <t>Sherubtse College</t>
  </si>
  <si>
    <t>https://api.pelsung.bt/api/files/pbc_2689671926/239n3amm7doi4qp/11106003860_certificate_r9ht6hc06l.pdf</t>
  </si>
  <si>
    <t>https://api.pelsung.bt/api/files/pbc_2689671926/239n3amm7doi4qp/11106003860_cv_816b5fgvpx.pdf</t>
  </si>
  <si>
    <t>https://api.pelsung.bt/api/files/pbc_2689671926/239n3amm7doi4qp/11106003860_photo_k2bjq3umkt.jpeg</t>
  </si>
  <si>
    <t>11106003860_owi1t5twef.pdf</t>
  </si>
  <si>
    <t>Gembo Tshering</t>
  </si>
  <si>
    <t>DCP75916</t>
  </si>
  <si>
    <t>1996-10-10 00:00:00.000Z</t>
  </si>
  <si>
    <t>lhakpatshering284@gmail.com</t>
  </si>
  <si>
    <t>Dagana</t>
  </si>
  <si>
    <t>Gesarling, Dagana</t>
  </si>
  <si>
    <t>private</t>
  </si>
  <si>
    <t>Business Management Studies(THM)</t>
  </si>
  <si>
    <t>Jain University</t>
  </si>
  <si>
    <t>https://api.pelsung.bt/api/files/pbc_2689671926/zsgxriord9v16lc/10303000493_certificate_avxx1u3rzf.jpg</t>
  </si>
  <si>
    <t>https://api.pelsung.bt/api/files/pbc_2689671926/zsgxriord9v16lc/10303000493_cv_ttg1y1w0mj.pdf</t>
  </si>
  <si>
    <t>https://api.pelsung.bt/api/files/pbc_2689671926/zsgxriord9v16lc/10303000493_photo_xktpim98pw.jpg</t>
  </si>
  <si>
    <t>other</t>
  </si>
  <si>
    <t>sister</t>
  </si>
  <si>
    <t>Nidup Dorji</t>
  </si>
  <si>
    <t>2001-11-01 00:00:00.000Z</t>
  </si>
  <si>
    <t>dorjinidup462@gmail.com</t>
  </si>
  <si>
    <t>Chukha</t>
  </si>
  <si>
    <t>Chapchha, Chhukha</t>
  </si>
  <si>
    <t>Bachelor in Business Administration - marketing</t>
  </si>
  <si>
    <t>Gedu College of Business Studies</t>
  </si>
  <si>
    <t>https://api.pelsung.bt/api/files/pbc_2689671926/iupk16mjs004od3/10204002349_certificate_y822h3l4wq.pdf</t>
  </si>
  <si>
    <t>https://api.pelsung.bt/api/files/pbc_2689671926/iupk16mjs004od3/10204002349_cv_trhfwijajz.pdf</t>
  </si>
  <si>
    <t>https://api.pelsung.bt/api/files/pbc_2689671926/iupk16mjs004od3/10204002349_photo_rfgrzuujg1.png</t>
  </si>
  <si>
    <t>Ugyen</t>
  </si>
  <si>
    <t>1997-10-27 00:00:00.000Z</t>
  </si>
  <si>
    <t>nidupsanji3373@gmail.com</t>
  </si>
  <si>
    <t>Trashigang</t>
  </si>
  <si>
    <t>corporate</t>
  </si>
  <si>
    <t>Environmental Management</t>
  </si>
  <si>
    <t>Royal Thimphu College</t>
  </si>
  <si>
    <t>https://api.pelsung.bt/api/files/pbc_2689671926/8fd9crudmlkgokt/11514003452_certificate_5y5u4ghec2.pdf</t>
  </si>
  <si>
    <t>https://api.pelsung.bt/api/files/pbc_2689671926/8fd9crudmlkgokt/11514003452_cv_6q8f48pdsk.pdf</t>
  </si>
  <si>
    <t>https://api.pelsung.bt/api/files/pbc_2689671926/8fd9crudmlkgokt/11514003452_photo_ibz7y01ax7.jpg</t>
  </si>
  <si>
    <t>11514003452_yxsa8rk60a.pdf</t>
  </si>
  <si>
    <t>Singye Wangchuk</t>
  </si>
  <si>
    <t>NBP20939</t>
  </si>
  <si>
    <t>Druk</t>
  </si>
  <si>
    <t>2002-04-16 00:00:00.000Z</t>
  </si>
  <si>
    <t>rseldontwelve@gmail.com</t>
  </si>
  <si>
    <t>Trashiyangtse</t>
  </si>
  <si>
    <t>B.Sc Environmental Management</t>
  </si>
  <si>
    <t>https://api.pelsung.bt/api/files/pbc_2689671926/1o2gin7qx5w0h9k/11607002683_certificate_d3b2rr1d5a.pdf</t>
  </si>
  <si>
    <t>https://api.pelsung.bt/api/files/pbc_2689671926/1o2gin7qx5w0h9k/11607002683_cv_otoqkn501i.docx</t>
  </si>
  <si>
    <t>https://api.pelsung.bt/api/files/pbc_2689671926/1o2gin7qx5w0h9k/11607002683_photo_qcjnwsx45y.JPG</t>
  </si>
  <si>
    <t>RBP53664</t>
  </si>
  <si>
    <t>Subhadra Ghalley</t>
  </si>
  <si>
    <t>2001-09-16 00:00:00.000Z</t>
  </si>
  <si>
    <t>subhadraghalley55@gmail.com</t>
  </si>
  <si>
    <t>Ugyentse, Samtse</t>
  </si>
  <si>
    <t>BA General</t>
  </si>
  <si>
    <t>Kalimpong College</t>
  </si>
  <si>
    <t>https://api.pelsung.bt/api/files/pbc_2689671926/ipfhbzvyk2n1bxs/11211001345_certificate_oh5gj0jdta.pdf</t>
  </si>
  <si>
    <t>https://api.pelsung.bt/api/files/pbc_2689671926/ipfhbzvyk2n1bxs/11211001345_cv_mdd2ann7au.pdf</t>
  </si>
  <si>
    <t>https://api.pelsung.bt/api/files/pbc_2689671926/ipfhbzvyk2n1bxs/11211001345_photo_slq26api54.jpg</t>
  </si>
  <si>
    <t>Heran Ghalley</t>
  </si>
  <si>
    <t>2000-05-30 00:00:00.000Z</t>
  </si>
  <si>
    <t>thinleypem507@gmail.com</t>
  </si>
  <si>
    <t>Thedtsho, Wangdue Phodrang</t>
  </si>
  <si>
    <t>BA in Economics</t>
  </si>
  <si>
    <t>Sherubtse collage</t>
  </si>
  <si>
    <t>https://api.pelsung.bt/api/files/pbc_2689671926/imek116sqicddkw/10303002476_certificate_5jljeqtcua.pdf</t>
  </si>
  <si>
    <t>https://api.pelsung.bt/api/files/pbc_2689671926/imek116sqicddkw/10303002476_cv_hdboy1lm97.pdf</t>
  </si>
  <si>
    <t>https://api.pelsung.bt/api/files/pbc_2689671926/imek116sqicddkw/10303002476_photo_to9sd1ks8n.jpg</t>
  </si>
  <si>
    <t>TEP25322</t>
  </si>
  <si>
    <t>Thrinlay Dhendup Wangchen</t>
  </si>
  <si>
    <t>2004-01-05 00:00:00.000Z</t>
  </si>
  <si>
    <t>thrinlaywangchen04@gmail.com</t>
  </si>
  <si>
    <t>BSc in Sustainable Development</t>
  </si>
  <si>
    <t>College of Natural Resources</t>
  </si>
  <si>
    <t>https://api.pelsung.bt/api/files/pbc_2689671926/smmudor19iugt0g/10903003513_certificate_3r2tyn9qvu.jpeg</t>
  </si>
  <si>
    <t>https://api.pelsung.bt/api/files/pbc_2689671926/smmudor19iugt0g/10903003513_cv_ci1uvldjj0.pdf</t>
  </si>
  <si>
    <t>https://api.pelsung.bt/api/files/pbc_2689671926/smmudor19iugt0g/10903003513_photo_og9pmkprp2.jpeg</t>
  </si>
  <si>
    <t>Sonam Lhamo</t>
  </si>
  <si>
    <t>mother</t>
  </si>
  <si>
    <t>2004-10-04 00:00:00.000Z</t>
  </si>
  <si>
    <t>tpeldon556@gmail.com</t>
  </si>
  <si>
    <t>Wangdue Phodrang</t>
  </si>
  <si>
    <t>Wangchang, Paro</t>
  </si>
  <si>
    <t>Finance</t>
  </si>
  <si>
    <t>https://api.pelsung.bt/api/files/pbc_2689671926/s5ew8vrlds2eq0h/11910002351_certificate_obzjhmqk8b.pdf</t>
  </si>
  <si>
    <t>https://api.pelsung.bt/api/files/pbc_2689671926/s5ew8vrlds2eq0h/11910002351_cv_xnvm4galyu.pdf</t>
  </si>
  <si>
    <t>https://api.pelsung.bt/api/files/pbc_2689671926/s5ew8vrlds2eq0h/11910002351_photo_0u609x7okr.jpg</t>
  </si>
  <si>
    <t>Tashi Samdrup</t>
  </si>
  <si>
    <t>Tshewang Choden</t>
  </si>
  <si>
    <t>2000-01-01 00:00:00.000Z</t>
  </si>
  <si>
    <t>tshewangchoden863@gmail.com</t>
  </si>
  <si>
    <t>B.Sc. in Environment &amp; Climate Studies</t>
  </si>
  <si>
    <t>https://api.pelsung.bt/api/files/pbc_2689671926/8pmrcgzje2dn9qe/11703000545_certificate_mvflnaewwv.pdf</t>
  </si>
  <si>
    <t>https://api.pelsung.bt/api/files/pbc_2689671926/8pmrcgzje2dn9qe/11703000545_cv_8kr36rcmng.pdf</t>
  </si>
  <si>
    <t>https://api.pelsung.bt/api/files/pbc_2689671926/8pmrcgzje2dn9qe/11703000545_photo_95i8pwy0g6.png</t>
  </si>
  <si>
    <t>11703000545_9p8fzx2flz.pdf</t>
  </si>
  <si>
    <t>Rinchen Wangdi</t>
  </si>
  <si>
    <t>TEP20372</t>
  </si>
  <si>
    <t>Ugyen Choden</t>
  </si>
  <si>
    <t>1999-01-20 00:00:00.000Z</t>
  </si>
  <si>
    <t>uchoden999@gmail.com</t>
  </si>
  <si>
    <t>Norbugang, Pemagatshel</t>
  </si>
  <si>
    <t>entrepreneur</t>
  </si>
  <si>
    <t>BA in Dzongkha and English</t>
  </si>
  <si>
    <t>Norbuling rigtar collage</t>
  </si>
  <si>
    <t>https://api.pelsung.bt/api/files/pbc_2689671926/phm30pv595k8be2/11509001632_certificate_wk8x67nmuq.JPG</t>
  </si>
  <si>
    <t>https://api.pelsung.bt/api/files/pbc_2689671926/phm30pv595k8be2/11509001632_cv_mautptakj4.pdf</t>
  </si>
  <si>
    <t>https://api.pelsung.bt/api/files/pbc_2689671926/phm30pv595k8be2/11509001632_photo_9t1h3u8741.JPG</t>
  </si>
  <si>
    <t>sherab jamtsho</t>
  </si>
  <si>
    <t>UBP05122</t>
  </si>
  <si>
    <t>2002-06-20 00:00:00.000Z</t>
  </si>
  <si>
    <t>ugyenjamtsho27@gmail.com</t>
  </si>
  <si>
    <t>Chang, Thimphu</t>
  </si>
  <si>
    <t>Bsc. In Chemistry</t>
  </si>
  <si>
    <t>https://api.pelsung.bt/api/files/pbc_2689671926/pocpralnh63cq6m/11607003091_certificate_vh5crgglxt.pdf</t>
  </si>
  <si>
    <t>https://api.pelsung.bt/api/files/pbc_2689671926/pocpralnh63cq6m/11607003091_cv_76xk542dpe.pdf</t>
  </si>
  <si>
    <t>https://api.pelsung.bt/api/files/pbc_2689671926/pocpralnh63cq6m/11607003091_photo_csiuactq2k.jpg</t>
  </si>
  <si>
    <t>Sherab Zangmo</t>
  </si>
  <si>
    <t>AB+</t>
  </si>
  <si>
    <t>UBP04071</t>
  </si>
  <si>
    <t>2001-04-07 00:00:00.000Z</t>
  </si>
  <si>
    <t>tsomode11@gmail.com</t>
  </si>
  <si>
    <t>Mongar</t>
  </si>
  <si>
    <t>Diploma in Materials and Management</t>
  </si>
  <si>
    <t>https://api.pelsung.bt/api/files/pbc_2689671926/7w0s47nhbrybk8f/10701001670_certificate_mr74lnksxz.pdf</t>
  </si>
  <si>
    <t>https://api.pelsung.bt/api/files/pbc_2689671926/7w0s47nhbrybk8f/10701001670_cv_lrgrigqe55.docx</t>
  </si>
  <si>
    <t>https://api.pelsung.bt/api/files/pbc_2689671926/7w0s47nhbrybk8f/10701001670_photo_xadtwc829n.jpg</t>
  </si>
  <si>
    <t>Tshoki Lhamo</t>
  </si>
  <si>
    <t>aunt</t>
  </si>
  <si>
    <t>Yezer Pelzang</t>
  </si>
  <si>
    <t>2002-02-05 00:00:00.000Z</t>
  </si>
  <si>
    <t>yezerpelzangncs@gmail.com</t>
  </si>
  <si>
    <t>Samdrupjongkhar</t>
  </si>
  <si>
    <t>Bachelor Degree in Economics</t>
  </si>
  <si>
    <t>Sherubtse College, Royal University of Bhutan</t>
  </si>
  <si>
    <t>https://api.pelsung.bt/api/files/pbc_2689671926/3gc12g6eysshk0e/11102004858_certificate_aez62whx35.pdf</t>
  </si>
  <si>
    <t>https://api.pelsung.bt/api/files/pbc_2689671926/3gc12g6eysshk0e/11102004858_cv_6c0wy020ps.pdf</t>
  </si>
  <si>
    <t>https://api.pelsung.bt/api/files/pbc_2689671926/3gc12g6eysshk0e/11102004858_photo_ekbea8bclr.jpg</t>
  </si>
  <si>
    <t>Mother</t>
  </si>
  <si>
    <t>YAP91707</t>
  </si>
  <si>
    <t>2001-08-25 00:00:00.000Z</t>
  </si>
  <si>
    <t>sonam03200327@gmail.com</t>
  </si>
  <si>
    <t>Paro</t>
  </si>
  <si>
    <t>Kawang, Thimphu</t>
  </si>
  <si>
    <t>B. Com Accounting</t>
  </si>
  <si>
    <t>Gedu Cllege of Business Studies</t>
  </si>
  <si>
    <t>https://api.pelsung.bt/api/files/pbc_2689671926/uwixm8c3bflbngv/10810001395_certificate_cttsgyweky.pdf</t>
  </si>
  <si>
    <t>https://api.pelsung.bt/api/files/pbc_2689671926/uwixm8c3bflbngv/10810001395_cv_qd33025x3l.pdf</t>
  </si>
  <si>
    <t>https://api.pelsung.bt/api/files/pbc_2689671926/uwixm8c3bflbngv/10810001395_photo_c92glshygu.JPG</t>
  </si>
  <si>
    <t>10810001395_fmfacl1qqn.pdf</t>
  </si>
  <si>
    <t>Jamyang Tshering</t>
  </si>
  <si>
    <t>SEP14853</t>
  </si>
  <si>
    <t>1999-12-24 00:00:00.000Z</t>
  </si>
  <si>
    <t>tasheynima99@gmail.com</t>
  </si>
  <si>
    <t>B.A in budhhist studies</t>
  </si>
  <si>
    <t>Institute of science of mind</t>
  </si>
  <si>
    <t>https://api.pelsung.bt/api/files/pbc_2689671926/501o003uddenmzk/11510004288_certificate_b81iv8bntp.pdf</t>
  </si>
  <si>
    <t>https://api.pelsung.bt/api/files/pbc_2689671926/501o003uddenmzk/11510004288_cv_v45lxgydup.pdf</t>
  </si>
  <si>
    <t>https://api.pelsung.bt/api/files/pbc_2689671926/501o003uddenmzk/11510004288_photo_2rfw2tpftm.jpg</t>
  </si>
  <si>
    <t>Tashi tobgay</t>
  </si>
  <si>
    <t>97517 70 58 52</t>
  </si>
  <si>
    <t>TDP93259</t>
  </si>
  <si>
    <t>1997-01-29 00:00:00.000Z</t>
  </si>
  <si>
    <t>netendema886@gmail.com</t>
  </si>
  <si>
    <t>Bcom Finance</t>
  </si>
  <si>
    <t>Gedu college of business studies</t>
  </si>
  <si>
    <t>https://api.pelsung.bt/api/files/pbc_2689671926/qi99khpv8c9qhsb/10713002498_certificate_xh8zvx9ilc.pdf</t>
  </si>
  <si>
    <t>https://api.pelsung.bt/api/files/pbc_2689671926/qi99khpv8c9qhsb/10713002498_cv_nu34lrygro.pdf</t>
  </si>
  <si>
    <t>https://api.pelsung.bt/api/files/pbc_2689671926/qi99khpv8c9qhsb/10713002498_photo_1qkqe5w423.jpg</t>
  </si>
  <si>
    <t>10713002498_1r9jomjm3f.pdf</t>
  </si>
  <si>
    <t>Leki Phuntsho</t>
  </si>
  <si>
    <t>NBP30027</t>
  </si>
  <si>
    <t>2004-07-09 00:00:00.000Z</t>
  </si>
  <si>
    <t>jigme6974@gmail.com</t>
  </si>
  <si>
    <t>Mechanical Engineering</t>
  </si>
  <si>
    <t>https://api.pelsung.bt/api/files/pbc_2689671926/zy3p6c1q819255c/11601001508_certificate_p6lqma8zoo.jpeg</t>
  </si>
  <si>
    <t>https://api.pelsung.bt/api/files/pbc_2689671926/zy3p6c1q819255c/11601001508_cv_9sqp7aoibz.pdf</t>
  </si>
  <si>
    <t>https://api.pelsung.bt/api/files/pbc_2689671926/zy3p6c1q819255c/11601001508_photo_9rtye62pyg.jpeg</t>
  </si>
  <si>
    <t>11601001508_nrj5h1aqhr.pdf</t>
  </si>
  <si>
    <t>Shacha Zangmo</t>
  </si>
  <si>
    <t>JBP08132</t>
  </si>
  <si>
    <t>2002-02-04 00:00:00.000Z</t>
  </si>
  <si>
    <t>karmayoezer9b@gmail.com</t>
  </si>
  <si>
    <t>Bjachho, Chhukha</t>
  </si>
  <si>
    <t>BA in Bhutanese and Himalayan Studies</t>
  </si>
  <si>
    <t>College of Language and Culture Studies</t>
  </si>
  <si>
    <t>https://api.pelsung.bt/api/files/pbc_2689671926/kmf8on3ncti49we/11512006569_certificate_tootkn2h9r.pdf</t>
  </si>
  <si>
    <t>https://api.pelsung.bt/api/files/pbc_2689671926/kmf8on3ncti49we/11512006569_cv_io54n8vb6u.pdf</t>
  </si>
  <si>
    <t>https://api.pelsung.bt/api/files/pbc_2689671926/kmf8on3ncti49we/11512006569_photo_697okkfjt0.jpg</t>
  </si>
  <si>
    <t>Wangmo</t>
  </si>
  <si>
    <t>2003-08-25 00:00:00.000Z</t>
  </si>
  <si>
    <t>kingawangmo389@gmail.com</t>
  </si>
  <si>
    <t>Bongo, Chhukha</t>
  </si>
  <si>
    <t>https://api.pelsung.bt/api/files/pbc_2689671926/viy0haudm7hewn7/11504004571_certificate_nlm3vxznze.jpg</t>
  </si>
  <si>
    <t>https://api.pelsung.bt/api/files/pbc_2689671926/viy0haudm7hewn7/11504004571_cv_fpp6feftr0.pdf</t>
  </si>
  <si>
    <t>https://api.pelsung.bt/api/files/pbc_2689671926/viy0haudm7hewn7/11504004571_photo_l14hm0jya4.JPG</t>
  </si>
  <si>
    <t>Kezang Choden</t>
  </si>
  <si>
    <t>KCP89666</t>
  </si>
  <si>
    <t>2002-07-03 00:00:00.000Z</t>
  </si>
  <si>
    <t>lekicho505@gmail.com</t>
  </si>
  <si>
    <t>Phuentsholing, Chhukha</t>
  </si>
  <si>
    <t>Diploma in Mechanical Engineering</t>
  </si>
  <si>
    <t>https://api.pelsung.bt/api/files/pbc_2689671926/v45ag1z48vlqv8f/10708003392_certificate_qh7iyukkxz.pdf</t>
  </si>
  <si>
    <t>https://api.pelsung.bt/api/files/pbc_2689671926/v45ag1z48vlqv8f/10708003392_cv_7zq4n8gcil.pdf</t>
  </si>
  <si>
    <t>https://api.pelsung.bt/api/files/pbc_2689671926/v45ag1z48vlqv8f/10708003392_photo_rud6ql79zd.jpg</t>
  </si>
  <si>
    <t>10708003392_jyeflmtfin.pdf</t>
  </si>
  <si>
    <t>Kezang Yeden</t>
  </si>
  <si>
    <t>1997-03-05 00:00:00.000Z</t>
  </si>
  <si>
    <t>xonamzhendup007@gmail.com</t>
  </si>
  <si>
    <t>Chhumi, Bumthang</t>
  </si>
  <si>
    <t>Diploma in civil engineering</t>
  </si>
  <si>
    <t>https://api.pelsung.bt/api/files/pbc_2689671926/2cuwacan8e7q4wr/11410007218_certificate_zctmw9s75r.pdf</t>
  </si>
  <si>
    <t>https://api.pelsung.bt/api/files/pbc_2689671926/2cuwacan8e7q4wr/11410007218_cv_vqhtt7e4sg.docx</t>
  </si>
  <si>
    <t>https://api.pelsung.bt/api/files/pbc_2689671926/2cuwacan8e7q4wr/11410007218_photo_kkn4f6uu95.jpeg</t>
  </si>
  <si>
    <t>11410007218_0rf1tb1esa.pdf</t>
  </si>
  <si>
    <t>975 17782003</t>
  </si>
  <si>
    <t>#ERROR!</t>
  </si>
  <si>
    <t>SCP89114</t>
  </si>
  <si>
    <t>1998-08-19 00:00:00.000Z</t>
  </si>
  <si>
    <t>yentenjatso7@gmail.com</t>
  </si>
  <si>
    <t>Barp, Punakha</t>
  </si>
  <si>
    <t>B.A in Language and Literature</t>
  </si>
  <si>
    <t>College of Language and Literature</t>
  </si>
  <si>
    <t>https://api.pelsung.bt/api/files/pbc_2689671926/rhck3b3x1cfqwsf/10705003593_certificate_f647aa1q35.pdf</t>
  </si>
  <si>
    <t>https://api.pelsung.bt/api/files/pbc_2689671926/rhck3b3x1cfqwsf/10705003593_cv_badai8ztq3.pdf</t>
  </si>
  <si>
    <t>https://api.pelsung.bt/api/files/pbc_2689671926/rhck3b3x1cfqwsf/10705003593_photo_nmmmhef4wr.jpg</t>
  </si>
  <si>
    <t>Yeshi Rinzin</t>
  </si>
  <si>
    <t>SEP46748</t>
  </si>
  <si>
    <t>Remarks</t>
  </si>
  <si>
    <t>1993-10-12 00:00:00.000Z</t>
  </si>
  <si>
    <t>Electrical guy, talks a lot. Has to go back.</t>
  </si>
  <si>
    <t>nima.yoezer@smcl.bt</t>
  </si>
  <si>
    <t>Phuentshopelri, Samtse</t>
  </si>
  <si>
    <t>Electrical Engineer</t>
  </si>
  <si>
    <t>Jigme Namgyel Polytechnic</t>
  </si>
  <si>
    <t>https://api.pelsung.bt/api/files/pbc_2689671926/rboi3f2mk0p7pej/11208000546_certificate_5ndz99i55f.jpeg</t>
  </si>
  <si>
    <t>https://api.pelsung.bt/api/files/pbc_2689671926/rboi3f2mk0p7pej/11208000546_cv_pw5dbh6rvz.pdf</t>
  </si>
  <si>
    <t>https://api.pelsung.bt/api/files/pbc_2689671926/rboi3f2mk0p7pej/11208000546_photo_sp2jz5g1mp.jpg</t>
  </si>
  <si>
    <t>11208000546_v2mxbosvno.pdf</t>
  </si>
  <si>
    <t>Sangay Wangmo</t>
  </si>
  <si>
    <t>NAP93469</t>
  </si>
  <si>
    <t>2002-03-01 00:00:00.000Z</t>
  </si>
  <si>
    <t xml:space="preserve">Monitor his overall attitude etc. </t>
  </si>
  <si>
    <t>puranadhikari224@gmail.com</t>
  </si>
  <si>
    <t>divorced</t>
  </si>
  <si>
    <t>BE Mechatronics</t>
  </si>
  <si>
    <t>Chitkara University</t>
  </si>
  <si>
    <t>https://api.pelsung.bt/api/files/pbc_2689671926/xf2d2tz5e4vpmjo/11206005505_certificate_ewkqs6eqnq.pdf</t>
  </si>
  <si>
    <t>https://api.pelsung.bt/api/files/pbc_2689671926/xf2d2tz5e4vpmjo/11206005505_cv_g2qu6n7liy.pdf</t>
  </si>
  <si>
    <t>https://api.pelsung.bt/api/files/pbc_2689671926/xf2d2tz5e4vpmjo/11206005505_photo_2s4jndsmgi.JPG</t>
  </si>
  <si>
    <t>Bhagi Maya Dulal</t>
  </si>
  <si>
    <t>2000-06-17 00:00:00.000Z</t>
  </si>
  <si>
    <t>Doing well as of now.</t>
  </si>
  <si>
    <t>sabikachhetri17@gmail.com</t>
  </si>
  <si>
    <t>Samtenling, Sarpang</t>
  </si>
  <si>
    <t>BCA</t>
  </si>
  <si>
    <t>SRM university</t>
  </si>
  <si>
    <t>https://api.pelsung.bt/api/files/pbc_2689671926/ibo3hy64zqgrlev/11301003461_certificate_7odcsj3bza.pdf</t>
  </si>
  <si>
    <t>https://api.pelsung.bt/api/files/pbc_2689671926/ibo3hy64zqgrlev/11301003461_cv_ql395er0id.pdf</t>
  </si>
  <si>
    <t>https://api.pelsung.bt/api/files/pbc_2689671926/ibo3hy64zqgrlev/11301003461_photo_0avvwsvfss.JPG</t>
  </si>
  <si>
    <t>Bank of Bhutan</t>
  </si>
  <si>
    <t>2000-10-22 00:00:00.000Z</t>
  </si>
  <si>
    <t>No laptop girl.</t>
  </si>
  <si>
    <t>schoden877@gmail.com</t>
  </si>
  <si>
    <t>Zhemgang</t>
  </si>
  <si>
    <t>Ngangla, Zhemgang</t>
  </si>
  <si>
    <t>Bachelor of computer Application</t>
  </si>
  <si>
    <t>Chandigarh university</t>
  </si>
  <si>
    <t>https://api.pelsung.bt/api/files/pbc_2689671926/s1dl9iodfxwxe17/12005003174_certificate_ehabrz5kax.jpg</t>
  </si>
  <si>
    <t>https://api.pelsung.bt/api/files/pbc_2689671926/s1dl9iodfxwxe17/12005003174_cv_jeulsfp9py.pdf</t>
  </si>
  <si>
    <t>https://api.pelsung.bt/api/files/pbc_2689671926/s1dl9iodfxwxe17/12005003174_photo_14qefnrdjg.png</t>
  </si>
  <si>
    <t>Pema zangpo</t>
  </si>
  <si>
    <t>Sonam Rigdhen Thinley</t>
  </si>
  <si>
    <t>2001-07-26 00:00:00.000Z</t>
  </si>
  <si>
    <t>RigdenHub guy. Looks a bit cocky but can mold</t>
  </si>
  <si>
    <t>sonamrigdhen666@gmail.com</t>
  </si>
  <si>
    <t>Diploma in physical education and sports coaching</t>
  </si>
  <si>
    <t>Paro college of education</t>
  </si>
  <si>
    <t>https://api.pelsung.bt/api/files/pbc_2689671926/klg7gwf5tb4ejjc/11501002581_certificate_1fs2n57pls.jpg</t>
  </si>
  <si>
    <t>https://api.pelsung.bt/api/files/pbc_2689671926/klg7gwf5tb4ejjc/11501002581_cv_j8hgxshczx.pdf</t>
  </si>
  <si>
    <t>https://api.pelsung.bt/api/files/pbc_2689671926/klg7gwf5tb4ejjc/11501002581_photo_n67wklev1a.jpg</t>
  </si>
  <si>
    <t>Kunzang Thinley</t>
  </si>
  <si>
    <t>2003-07-07 00:00:00.000Z</t>
  </si>
  <si>
    <t>A bit experienced, Selise potential. Monitor closely.
Proxy-ed one class. If happens again, won't monitor anymore.</t>
  </si>
  <si>
    <t>sonamrinchen443@gmail.com</t>
  </si>
  <si>
    <t>Yangtse, Tashi Yangtse</t>
  </si>
  <si>
    <t>Diploma in Computer System and Network</t>
  </si>
  <si>
    <t>https://api.pelsung.bt/api/files/pbc_2689671926/8xg9oxaxej9i3wc/11608002636_certificate_fnm1lemsei.pdf</t>
  </si>
  <si>
    <t>https://api.pelsung.bt/api/files/pbc_2689671926/8xg9oxaxej9i3wc/11608002636_cv_dbg4xiwb27.pdf</t>
  </si>
  <si>
    <t>https://api.pelsung.bt/api/files/pbc_2689671926/8xg9oxaxej9i3wc/11608002636_photo_kyho3shs6p.jpg</t>
  </si>
  <si>
    <t>975 77808501</t>
  </si>
  <si>
    <t>1996-07-14 00:00:00.000Z</t>
  </si>
  <si>
    <t>Dungsam guy, has done laravel, springboot etc. Possibly will go back.</t>
  </si>
  <si>
    <t>tasheephuntsho301@gmail.com</t>
  </si>
  <si>
    <t>Wangphu, Samdrup Jongkhar</t>
  </si>
  <si>
    <t>Bsc. In Computer Science</t>
  </si>
  <si>
    <t>Royal University of Bhutan Sherubtse College</t>
  </si>
  <si>
    <t>https://api.pelsung.bt/api/files/pbc_2689671926/kq1l19h0opsdtgv/11102006389_certificate_2q0b5wiodu.pdf</t>
  </si>
  <si>
    <t>https://api.pelsung.bt/api/files/pbc_2689671926/kq1l19h0opsdtgv/11102006389_cv_4b54aur4ix.pdf</t>
  </si>
  <si>
    <t>https://api.pelsung.bt/api/files/pbc_2689671926/kq1l19h0opsdtgv/11102006389_photo_uajfb5t7zc.png</t>
  </si>
  <si>
    <t>11102006389_sz1vqcy70x.pdf</t>
  </si>
  <si>
    <t>Tshedup Zangmo</t>
  </si>
  <si>
    <t>tdp16771</t>
  </si>
  <si>
    <t>2003-08-29 00:00:00.000Z</t>
  </si>
  <si>
    <t>Proxy once.</t>
  </si>
  <si>
    <t>thinleyd959@gmail.com</t>
  </si>
  <si>
    <t>Physics</t>
  </si>
  <si>
    <t>Sherubtse college</t>
  </si>
  <si>
    <t>https://api.pelsung.bt/api/files/pbc_2689671926/f9liga80zh7p6f2/11503004814_certificate_v64rijogtz.pdf</t>
  </si>
  <si>
    <t>https://api.pelsung.bt/api/files/pbc_2689671926/f9liga80zh7p6f2/11503004814_cv_2vvgyx0o3f.pdf</t>
  </si>
  <si>
    <t>https://api.pelsung.bt/api/files/pbc_2689671926/f9liga80zh7p6f2/11503004814_photo_8wg5e1xdiz.jpg</t>
  </si>
  <si>
    <t>Dechen zangmo</t>
  </si>
  <si>
    <t>1988-05-20 00:00:00.000Z</t>
  </si>
  <si>
    <t>Headache. Acting oversmart with the exericises.</t>
  </si>
  <si>
    <t>yugel.tshering@icloud.com</t>
  </si>
  <si>
    <t>BSc. IT</t>
  </si>
  <si>
    <t>Bangalore University</t>
  </si>
  <si>
    <t>https://api.pelsung.bt/api/files/pbc_2689671926/z5wuko2ke9zen8f/12008003646_certificate_fbopwt1bmx.jpeg</t>
  </si>
  <si>
    <t>https://api.pelsung.bt/api/files/pbc_2689671926/z5wuko2ke9zen8f/12008003646_cv_azfindvay5.pdf</t>
  </si>
  <si>
    <t>https://api.pelsung.bt/api/files/pbc_2689671926/z5wuko2ke9zen8f/12008003646_photo_wif3kkk0wo.jpeg</t>
  </si>
  <si>
    <t>12008003646_z98gjf6zwu.pdf</t>
  </si>
  <si>
    <t>Chimmi Wangmo</t>
  </si>
  <si>
    <t>UAP25254</t>
  </si>
  <si>
    <t>Yeshey Wangchuk</t>
  </si>
  <si>
    <t>2002-10-15 00:00:00.000Z</t>
  </si>
  <si>
    <t>Learned JS etc, monitor closely.</t>
  </si>
  <si>
    <t>punkdawa489@gmail.com</t>
  </si>
  <si>
    <t>BA in English</t>
  </si>
  <si>
    <t>Norbuling Rigter college</t>
  </si>
  <si>
    <t>https://api.pelsung.bt/api/files/pbc_2689671926/vyt5l1pi12p27ez/11410004075_certificate_5e8n4katdi.docx</t>
  </si>
  <si>
    <t>https://api.pelsung.bt/api/files/pbc_2689671926/vyt5l1pi12p27ez/11410004075_cv_60c5sicjc7.pdf</t>
  </si>
  <si>
    <t>https://api.pelsung.bt/api/files/pbc_2689671926/vyt5l1pi12p27ez/11410004075_photo_x05hjbby9g.jpg</t>
  </si>
  <si>
    <t>Chogyal</t>
  </si>
  <si>
    <t>2003-07-04 00:00:00.000Z</t>
  </si>
  <si>
    <t>NGN Experience, has done a bit of Angular, monitor closely</t>
  </si>
  <si>
    <t>yesheydorjee4@gmail.com</t>
  </si>
  <si>
    <t>Diploma in Information Technology</t>
  </si>
  <si>
    <t>Athang Training Academy</t>
  </si>
  <si>
    <t>https://api.pelsung.bt/api/files/pbc_2689671926/1oz0ngm6slprzst/11501003508_certificate_i2q39n27sl.pdf</t>
  </si>
  <si>
    <t>https://api.pelsung.bt/api/files/pbc_2689671926/1oz0ngm6slprzst/11501003508_cv_zb281q3mdm.pdf</t>
  </si>
  <si>
    <t>https://api.pelsung.bt/api/files/pbc_2689671926/1oz0ngm6slprzst/11501003508_photo_neknqz718r.jpg</t>
  </si>
  <si>
    <t>Tshering Phuntsho</t>
  </si>
  <si>
    <t>2002-02-01 00:00:00.000Z</t>
  </si>
  <si>
    <t>phublham143506@gmail.com</t>
  </si>
  <si>
    <t>Kazhi, Wangdue Phodrang</t>
  </si>
  <si>
    <t>B.Sc. in Physics</t>
  </si>
  <si>
    <t>https://api.pelsung.bt/api/files/pbc_2689671926/9c7t5prng1p72az/11908000413_certificate_jzvcij9h8n.pdf</t>
  </si>
  <si>
    <t>https://api.pelsung.bt/api/files/pbc_2689671926/9c7t5prng1p72az/11908000413_cv_35uj6tzgws.pdf</t>
  </si>
  <si>
    <t>https://api.pelsung.bt/api/files/pbc_2689671926/9c7t5prng1p72az/11908000413_photo_jgfie1qo0u.jpeg</t>
  </si>
  <si>
    <t>Phub Gyem</t>
  </si>
  <si>
    <t>PDP52328</t>
  </si>
  <si>
    <t>1991-07-02 00:00:00.000Z</t>
  </si>
  <si>
    <t>sangaychoda174@gmail.com</t>
  </si>
  <si>
    <t>Martshala, Samdrup Jongkhar</t>
  </si>
  <si>
    <t>Bachelor of Computer Application (BCA)</t>
  </si>
  <si>
    <t>Mahatma Gandhi University, Meghalaya, Shillong</t>
  </si>
  <si>
    <t>https://api.pelsung.bt/api/files/pbc_2689671926/f1h1k1gezivhy69/10905002191_certificate_hit1qvjdqt.pdf</t>
  </si>
  <si>
    <t>https://api.pelsung.bt/api/files/pbc_2689671926/f1h1k1gezivhy69/10905002191_cv_nt5l0aqjre.pdf</t>
  </si>
  <si>
    <t>https://api.pelsung.bt/api/files/pbc_2689671926/f1h1k1gezivhy69/10905002191_photo_dxy94xs35d.jpg</t>
  </si>
  <si>
    <t>10905002191_jbpzw9tw02.pdf</t>
  </si>
  <si>
    <t>Dorji Chozom</t>
  </si>
  <si>
    <t>SCP52225</t>
  </si>
  <si>
    <t>Sonam Choki</t>
  </si>
  <si>
    <t>2002-07-21 00:00:00.000Z</t>
  </si>
  <si>
    <t>Sincerely doing exercises. Will watch over.</t>
  </si>
  <si>
    <t>sonnamchokii9@gmail.com</t>
  </si>
  <si>
    <t>Punakha</t>
  </si>
  <si>
    <t>Gelephu, Sarpang</t>
  </si>
  <si>
    <t>Computer system and network</t>
  </si>
  <si>
    <t>Jigme Namgyel Engineering college</t>
  </si>
  <si>
    <t>https://api.pelsung.bt/api/files/pbc_2689671926/tdv3sqvcrpis9i5/11009001884_certificate_knhl192aoy.pdf</t>
  </si>
  <si>
    <t>https://api.pelsung.bt/api/files/pbc_2689671926/tdv3sqvcrpis9i5/11009001884_cv_l7616y1emi.pdf</t>
  </si>
  <si>
    <t>https://api.pelsung.bt/api/files/pbc_2689671926/tdv3sqvcrpis9i5/11009001884_photo_4o4qga1gdj.jpg</t>
  </si>
  <si>
    <t>Dawa Gyaltshen</t>
  </si>
  <si>
    <t>Kinley Dorji</t>
  </si>
  <si>
    <t>2000-02-19 00:00:00.000Z</t>
  </si>
  <si>
    <t>Struggling, probably won't get into tech</t>
  </si>
  <si>
    <t>yalneekeejrod@gmail.com</t>
  </si>
  <si>
    <t>Thimphu</t>
  </si>
  <si>
    <t>Marketing (BBA)</t>
  </si>
  <si>
    <t>https://api.pelsung.bt/api/files/pbc_2689671926/pobcnya5naouzia/11405000448_certificate_3zfdf8hspt.pdf</t>
  </si>
  <si>
    <t>https://api.pelsung.bt/api/files/pbc_2689671926/pobcnya5naouzia/11405000448_cv_s6u50vz2l5.pdf</t>
  </si>
  <si>
    <t>https://api.pelsung.bt/api/files/pbc_2689671926/pobcnya5naouzia/11405000448_photo_m0gxfr3zhn.jpg</t>
  </si>
  <si>
    <t>Lhaden Lepcha</t>
  </si>
  <si>
    <t>1989-09-01 00:00:00.000Z</t>
  </si>
  <si>
    <t>Bro is trying but let's see</t>
  </si>
  <si>
    <t>karmasharang22@gmail.com</t>
  </si>
  <si>
    <t>Nanong, Pemagatshel</t>
  </si>
  <si>
    <t>Bachelor of Commerce in Finance</t>
  </si>
  <si>
    <t>Royal Thimphu college</t>
  </si>
  <si>
    <t>https://api.pelsung.bt/api/files/pbc_2689671926/bakp033bmj8gpuh/11508004479_certificate_s2xe77zcfx.jpg</t>
  </si>
  <si>
    <t>https://api.pelsung.bt/api/files/pbc_2689671926/bakp033bmj8gpuh/11508004479_cv_yn8alun4zs.pdf</t>
  </si>
  <si>
    <t>https://api.pelsung.bt/api/files/pbc_2689671926/bakp033bmj8gpuh/11508004479_photo_x60s0ax6ki.jpg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</si>
</sst>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434343"/>
      <name val="Poppins"/>
    </font>
    <font>
      <u/>
      <sz val="11"/>
      <color rgb="FF434343"/>
      <name val="Poppins"/>
    </font>
    <font>
      <b/>
      <sz val="11"/>
      <color theme="1"/>
      <name val="Poppins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2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0" fillId="3" borderId="0" xfId="0" applyFill="1"/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2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right"/>
    </xf>
    <xf numFmtId="0" fontId="7" fillId="4" borderId="1" xfId="1" applyFill="1" applyBorder="1" applyAlignment="1">
      <alignment horizontal="center"/>
    </xf>
    <xf numFmtId="0" fontId="4" fillId="3" borderId="0" xfId="0" applyFont="1" applyFill="1"/>
    <xf numFmtId="0" fontId="1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2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right"/>
    </xf>
    <xf numFmtId="0" fontId="0" fillId="2" borderId="0" xfId="0" applyFill="1" applyAlignment="1">
      <alignment wrapText="1"/>
    </xf>
    <xf numFmtId="0" fontId="5" fillId="6" borderId="0" xfId="0" applyFont="1" applyFill="1"/>
    <xf numFmtId="0" fontId="7" fillId="5" borderId="1" xfId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5" borderId="2" xfId="0" applyFont="1" applyFill="1" applyBorder="1"/>
    <xf numFmtId="0" fontId="1" fillId="5" borderId="2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center" wrapText="1"/>
    </xf>
    <xf numFmtId="0" fontId="4" fillId="6" borderId="0" xfId="0" applyFont="1" applyFill="1"/>
    <xf numFmtId="0" fontId="2" fillId="4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E2C9A3-D619-4403-81FA-57A20B455D86}" name="Table2" displayName="Table2" ref="A1:AH1" headerRowCount="0">
  <tableColumns count="34">
    <tableColumn id="1" xr3:uid="{C908E43A-341A-4E7C-B2F7-A517D8381C79}" name="Column1"/>
    <tableColumn id="2" xr3:uid="{36F17DA3-9F3C-4EE5-9ACD-8185A7DF51A9}" name="Column2"/>
    <tableColumn id="3" xr3:uid="{39F4F395-426C-4773-AA46-E754D0F2EC4C}" name="Column3"/>
    <tableColumn id="4" xr3:uid="{99263699-FDD8-44FF-A825-E72C3E860C6C}" name="Column4"/>
    <tableColumn id="5" xr3:uid="{EFEF2D87-0F80-4B25-BD18-92CCFA72F015}" name="Column5"/>
    <tableColumn id="6" xr3:uid="{1B2155AE-F567-4911-B605-F58D66035B37}" name="Column6"/>
    <tableColumn id="7" xr3:uid="{95B484FA-A080-490A-A1E7-18CA045AE9D1}" name="Column7"/>
    <tableColumn id="8" xr3:uid="{5B3B4680-473C-4DC4-9F93-D48565DEBF9C}" name="Column8"/>
    <tableColumn id="9" xr3:uid="{2FAB32FF-7549-4F02-B81F-317408D2B0F6}" name="Column9"/>
    <tableColumn id="10" xr3:uid="{3281683E-A26F-40BF-B27C-9141D998D33D}" name="Column10"/>
    <tableColumn id="11" xr3:uid="{D1C7BB56-635B-4CE4-A0C2-097D2887394F}" name="Column11"/>
    <tableColumn id="12" xr3:uid="{5940D28C-21E7-4A5E-B1D2-BBF01FFC0AB3}" name="Column12"/>
    <tableColumn id="13" xr3:uid="{C8842403-2547-4D34-A961-57963F038A1A}" name="Column13"/>
    <tableColumn id="14" xr3:uid="{44F60CB4-AF9D-47D4-AB80-B5F75F9C8543}" name="Column14"/>
    <tableColumn id="15" xr3:uid="{80C13810-0DCB-4210-A7A2-EBE5107F7E2E}" name="Column15"/>
    <tableColumn id="16" xr3:uid="{D799DEF8-B5FD-4C10-A028-CEC93D9853E1}" name="Column16" dataDxfId="6"/>
    <tableColumn id="17" xr3:uid="{F66D77FE-747D-46C8-9C57-E85B2E9C2BBC}" name="Column17" dataDxfId="5"/>
    <tableColumn id="18" xr3:uid="{4307A785-3F4E-47DF-AF06-52700192D08F}" name="Column18" dataDxfId="4"/>
    <tableColumn id="19" xr3:uid="{CA98D328-5F58-4400-939E-CEA3F555A160}" name="Column19"/>
    <tableColumn id="20" xr3:uid="{E919FDBE-CF63-4408-9864-FB918C49BABB}" name="Column20"/>
    <tableColumn id="21" xr3:uid="{3236F7C5-107B-4E18-AD4C-EA4A36E5CFD6}" name="Column21"/>
    <tableColumn id="22" xr3:uid="{E3BD26AB-38ED-4779-8742-7553B79780BE}" name="Column22"/>
    <tableColumn id="23" xr3:uid="{122CA43F-7B28-4A06-9CDA-F7178A3B3DB5}" name="Column23"/>
    <tableColumn id="24" xr3:uid="{E709B57F-FF5D-40BC-9931-E6D50838FB1A}" name="Column24"/>
    <tableColumn id="25" xr3:uid="{3DA497C7-B6B4-4BC1-830A-8CB33D359257}" name="Column25"/>
    <tableColumn id="26" xr3:uid="{1D9989FD-1468-4A4E-848B-E40DDDC2007D}" name="Column26"/>
    <tableColumn id="27" xr3:uid="{DBCABF76-8ABA-472F-B3A4-C696563E0496}" name="Column27"/>
    <tableColumn id="28" xr3:uid="{F758E2DF-329C-4826-9B32-D6727DC08590}" name="Column28"/>
    <tableColumn id="29" xr3:uid="{25E8AFA2-0E0A-4455-BF2A-6C77E6D90FA7}" name="Column29"/>
    <tableColumn id="30" xr3:uid="{5C21465F-6993-4EDB-90E0-752C786D6DBD}" name="Column30"/>
    <tableColumn id="31" xr3:uid="{99E5CD43-48E7-405B-B51A-FBB94EB22366}" name="Column31"/>
    <tableColumn id="32" xr3:uid="{8AA45F56-1608-40A4-9405-6D761848BDDE}" name="Column32"/>
    <tableColumn id="33" xr3:uid="{AC11B46E-8251-4114-AA87-86BA7B4952B9}" name="Column33"/>
    <tableColumn id="34" xr3:uid="{95C651EA-CA81-4964-89BD-683964261B79}" name="Column34"/>
  </tableColumns>
  <tableStyleInfo name="SELIS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D6398F-9F91-47A4-B7B5-3A812B73FC9C}" name="Table24" displayName="Table24" ref="A1:AH2" headerRowCount="0">
  <tableColumns count="34">
    <tableColumn id="1" xr3:uid="{EA53B1E1-2963-4ECB-9F0C-1B2D378184F0}" name="Column1"/>
    <tableColumn id="2" xr3:uid="{14C3D759-DA94-471D-A099-A2050DF780E1}" name="Column2"/>
    <tableColumn id="3" xr3:uid="{F756A72F-C27D-4D0D-AABF-FA3271F4F278}" name="Column3"/>
    <tableColumn id="4" xr3:uid="{2C52C590-A0EA-430B-9EBC-71332E4BF9B8}" name="Column4"/>
    <tableColumn id="5" xr3:uid="{B231EA68-688C-4D1A-93B4-7B240218E83C}" name="Column5"/>
    <tableColumn id="6" xr3:uid="{A2F2B702-7351-447A-B62E-D7F54096F279}" name="Column6"/>
    <tableColumn id="7" xr3:uid="{8AA5B364-6EBD-4DB6-B395-D3C1270F6E00}" name="Column7"/>
    <tableColumn id="8" xr3:uid="{2B068599-CDC8-4505-A2DB-1DB0F02B4DDD}" name="Column8"/>
    <tableColumn id="9" xr3:uid="{71B96777-F669-471C-80D3-24CCD2D0FCEF}" name="Column9"/>
    <tableColumn id="10" xr3:uid="{D037A655-CABA-4AD7-AC1D-FAD2FCB7A43B}" name="Column10"/>
    <tableColumn id="11" xr3:uid="{DE0A19E0-111B-4BD0-960F-545C8D8FCE7D}" name="Column11"/>
    <tableColumn id="12" xr3:uid="{0C06F6CB-4C79-4323-A422-1595B18E6DAA}" name="Column12"/>
    <tableColumn id="13" xr3:uid="{E475243E-D1D7-412A-9643-A96E12F9D3F7}" name="Column13"/>
    <tableColumn id="14" xr3:uid="{F7966A2C-F3F6-4818-8F30-6A5E2C6D5762}" name="Column14"/>
    <tableColumn id="15" xr3:uid="{7379BC47-1937-4E34-B92E-BE43197EC45A}" name="Column15"/>
    <tableColumn id="16" xr3:uid="{B235D7AA-F417-4935-9638-FB49C625C38B}" name="Column16" dataDxfId="3"/>
    <tableColumn id="17" xr3:uid="{C4A27569-266F-4E18-A046-F9B4B9232905}" name="Column17" dataDxfId="2"/>
    <tableColumn id="18" xr3:uid="{99247081-3922-4826-BBE9-1DD42B6875E6}" name="Column18" dataDxfId="1"/>
    <tableColumn id="19" xr3:uid="{E3B1BDD1-F8F0-45BA-8F71-C98F101F077F}" name="Column19"/>
    <tableColumn id="20" xr3:uid="{5B18A998-3BD5-4F0D-B256-CD77F66A0DE6}" name="Column20"/>
    <tableColumn id="21" xr3:uid="{211057EB-ACB8-45B5-9854-850E9610C97E}" name="Column21"/>
    <tableColumn id="22" xr3:uid="{A03F82FE-5441-491F-9744-6A1887D58819}" name="Column22"/>
    <tableColumn id="23" xr3:uid="{F0AF11F1-3CCD-4047-AA4A-596FD9DDBB2E}" name="Column23"/>
    <tableColumn id="24" xr3:uid="{2256AAE7-FADA-4366-9296-9D29C4E40FE4}" name="Column24"/>
    <tableColumn id="25" xr3:uid="{ABCCB0E5-5E04-489E-B1C0-DA372DEB5B13}" name="Column25"/>
    <tableColumn id="26" xr3:uid="{15801920-5B17-448A-A3E5-D253F2D40F8D}" name="Column26"/>
    <tableColumn id="27" xr3:uid="{B361B798-EA18-4545-8FA6-649C3BF71BF5}" name="Column27"/>
    <tableColumn id="28" xr3:uid="{4662B958-0AB3-40E0-8D87-38D408213E1B}" name="Column28"/>
    <tableColumn id="29" xr3:uid="{199D1F9C-6D1A-4E64-B79B-F3933785A92E}" name="Column29"/>
    <tableColumn id="30" xr3:uid="{E8D42AD8-22F6-468F-AB08-942E7875437C}" name="Column30"/>
    <tableColumn id="31" xr3:uid="{A1C8A05C-C717-4C5B-8040-0689713EF161}" name="Column31"/>
    <tableColumn id="32" xr3:uid="{6351FD73-31E1-43D6-8829-2CE9F6B5C22B}" name="Column32"/>
    <tableColumn id="33" xr3:uid="{94C242CC-9EC2-4B2E-A3E9-E28D1AE9E4D0}" name="Column33"/>
    <tableColumn id="34" xr3:uid="{9D137460-9EFF-4993-B2A9-E9814413170F}" name="Column34"/>
  </tableColumns>
  <tableStyleInfo name="SELIS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0EFC1-1F58-44F1-95CC-0B8887484C17}" name="Table22" displayName="Table22" ref="A1:AH1" headerRowCount="0">
  <tableColumns count="34">
    <tableColumn id="1" xr3:uid="{61903C97-C2DE-4ADF-AF78-2D1DF0CDA28B}" name="Column1"/>
    <tableColumn id="2" xr3:uid="{B2A517AF-EC73-452C-A1CF-8E6272B881D1}" name="Column2"/>
    <tableColumn id="3" xr3:uid="{2D502512-8C3C-4358-B6BB-8A8E2D42108A}" name="Column3"/>
    <tableColumn id="4" xr3:uid="{0D4D8B9B-699F-41D8-9065-9309947BE9ED}" name="Column4"/>
    <tableColumn id="5" xr3:uid="{6D548891-3FCF-4F0D-8A84-0B0B036C3CFA}" name="Column5"/>
    <tableColumn id="6" xr3:uid="{8C43D94E-A3C9-4BB9-A160-9ABAF16AC263}" name="Column6"/>
    <tableColumn id="35" xr3:uid="{BCE3828C-1273-4D0A-B57D-89CD320716CD}" name="Column35" dataDxfId="0"/>
    <tableColumn id="7" xr3:uid="{74CBF1E4-5FD7-4691-96F1-BB71C7076887}" name="Column7"/>
    <tableColumn id="8" xr3:uid="{2C5ABAB0-7575-4A47-969D-1A95AB9EE1A9}" name="Column8"/>
    <tableColumn id="9" xr3:uid="{B2CF658C-F7A0-4377-AD78-060DFEA9B0D1}" name="Column9"/>
    <tableColumn id="10" xr3:uid="{E9C4AB7A-DC6D-4C1A-8735-38C4AF76EAD4}" name="Column10"/>
    <tableColumn id="11" xr3:uid="{D706C953-D5A7-475F-B050-43EBB98B2CF3}" name="Column11"/>
    <tableColumn id="12" xr3:uid="{C7A90440-12F6-4ACD-90BE-652114E0AF13}" name="Column12"/>
    <tableColumn id="13" xr3:uid="{3D331E1D-5A96-45B9-971D-2668207FED2F}" name="Column13"/>
    <tableColumn id="14" xr3:uid="{162A6EDA-92AD-46C4-8E22-5707B215F6C1}" name="Column14"/>
    <tableColumn id="16" xr3:uid="{A25D46BC-60E3-4A79-B3F1-535342786952}" name="Column16"/>
    <tableColumn id="17" xr3:uid="{D010733C-9B85-4657-8EDA-27288AA68599}" name="Column17"/>
    <tableColumn id="18" xr3:uid="{33969014-5DD7-495F-B512-1BD218B90D33}" name="Column18"/>
    <tableColumn id="19" xr3:uid="{360A9146-ADB5-4323-A774-B2AF28B3714D}" name="Column19"/>
    <tableColumn id="20" xr3:uid="{E5C3A5AF-C4AC-4729-B020-81B1D442872C}" name="Column20"/>
    <tableColumn id="21" xr3:uid="{0CA07D99-D6D1-4164-A8C5-EBD31137AF5E}" name="Column21"/>
    <tableColumn id="22" xr3:uid="{F9405086-7130-4CE6-9BE2-86B33B670413}" name="Column22"/>
    <tableColumn id="23" xr3:uid="{9021AB1D-E262-43E5-9A14-E0B4C26A360B}" name="Column23"/>
    <tableColumn id="24" xr3:uid="{44B073BA-EF94-49D7-96B1-D6B898CE9689}" name="Column24"/>
    <tableColumn id="25" xr3:uid="{F9AB1FB4-19FA-44C4-87D7-028039F2638C}" name="Column25"/>
    <tableColumn id="26" xr3:uid="{4E7ABB41-6CD5-46BF-86B0-113F4E06B0EC}" name="Column26"/>
    <tableColumn id="27" xr3:uid="{EB7483D6-C575-46E1-B97C-C6885E9E73A8}" name="Column27"/>
    <tableColumn id="28" xr3:uid="{331B4148-C9C1-4DE1-815C-1C02063691E1}" name="Column28"/>
    <tableColumn id="29" xr3:uid="{7685C23E-6D28-4D54-BA0F-BF76B6EABD92}" name="Column29"/>
    <tableColumn id="30" xr3:uid="{41C450BA-86E4-4CE7-B262-77B07FA1C097}" name="Column30"/>
    <tableColumn id="31" xr3:uid="{5E937D1C-D46F-4BB9-83DE-81D16BCF5DCA}" name="Column31"/>
    <tableColumn id="32" xr3:uid="{1D3FB4FD-4E31-4FF5-AA9A-3D9D48CED084}" name="Column32"/>
    <tableColumn id="33" xr3:uid="{0B1FF671-2A0F-48FB-9959-F91EF0D7F740}" name="Column33"/>
    <tableColumn id="34" xr3:uid="{168A5516-59B8-4685-A9BE-CBBD3550AC5E}" name="Column34"/>
  </tableColumns>
  <tableStyleInfo name="SELIS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pi.pelsung.bt/api/files/pbc_2689671926/239n3amm7doi4qp/11106003860_cv_816b5fgvpx.pdf" TargetMode="External"/><Relationship Id="rId18" Type="http://schemas.openxmlformats.org/officeDocument/2006/relationships/hyperlink" Target="https://api.pelsung.bt/api/files/pbc_2689671926/iupk16mjs004od3/10204002349_certificate_y822h3l4wq.pdf" TargetMode="External"/><Relationship Id="rId26" Type="http://schemas.openxmlformats.org/officeDocument/2006/relationships/hyperlink" Target="https://api.pelsung.bt/api/files/pbc_2689671926/1o2gin7qx5w0h9k/11607002683_photo_qcjnwsx45y.JPG" TargetMode="External"/><Relationship Id="rId39" Type="http://schemas.openxmlformats.org/officeDocument/2006/relationships/hyperlink" Target="https://api.pelsung.bt/api/files/pbc_2689671926/8pmrcgzje2dn9qe/11703000545_certificate_mvflnaewwv.pdf" TargetMode="External"/><Relationship Id="rId21" Type="http://schemas.openxmlformats.org/officeDocument/2006/relationships/hyperlink" Target="https://api.pelsung.bt/api/files/pbc_2689671926/8fd9crudmlkgokt/11514003452_certificate_5y5u4ghec2.pdf" TargetMode="External"/><Relationship Id="rId34" Type="http://schemas.openxmlformats.org/officeDocument/2006/relationships/hyperlink" Target="https://api.pelsung.bt/api/files/pbc_2689671926/smmudor19iugt0g/10903003513_cv_ci1uvldjj0.pdf" TargetMode="External"/><Relationship Id="rId42" Type="http://schemas.openxmlformats.org/officeDocument/2006/relationships/hyperlink" Target="https://api.pelsung.bt/api/files/pbc_2689671926/phm30pv595k8be2/11509001632_certificate_wk8x67nmuq.JPG" TargetMode="External"/><Relationship Id="rId47" Type="http://schemas.openxmlformats.org/officeDocument/2006/relationships/hyperlink" Target="https://api.pelsung.bt/api/files/pbc_2689671926/pocpralnh63cq6m/11607003091_photo_csiuactq2k.jpg" TargetMode="External"/><Relationship Id="rId50" Type="http://schemas.openxmlformats.org/officeDocument/2006/relationships/hyperlink" Target="https://api.pelsung.bt/api/files/pbc_2689671926/7w0s47nhbrybk8f/10701001670_photo_xadtwc829n.jpg" TargetMode="External"/><Relationship Id="rId55" Type="http://schemas.openxmlformats.org/officeDocument/2006/relationships/hyperlink" Target="https://api.pelsung.bt/api/files/pbc_2689671926/uwixm8c3bflbngv/10810001395_cv_qd33025x3l.pdf" TargetMode="External"/><Relationship Id="rId63" Type="http://schemas.openxmlformats.org/officeDocument/2006/relationships/table" Target="../tables/table1.xml"/><Relationship Id="rId7" Type="http://schemas.openxmlformats.org/officeDocument/2006/relationships/hyperlink" Target="mailto:chedup1923@gmail.com" TargetMode="External"/><Relationship Id="rId2" Type="http://schemas.openxmlformats.org/officeDocument/2006/relationships/hyperlink" Target="https://api.pelsung.bt/api/files/pbc_2689671926/czud1ae2hn9mkoc/10904003369_cv_6ggq0c3c8i.pdf" TargetMode="External"/><Relationship Id="rId16" Type="http://schemas.openxmlformats.org/officeDocument/2006/relationships/hyperlink" Target="https://api.pelsung.bt/api/files/pbc_2689671926/zsgxriord9v16lc/10303000493_cv_ttg1y1w0mj.pdf" TargetMode="External"/><Relationship Id="rId29" Type="http://schemas.openxmlformats.org/officeDocument/2006/relationships/hyperlink" Target="https://api.pelsung.bt/api/files/pbc_2689671926/ipfhbzvyk2n1bxs/11211001345_photo_slq26api54.jpg" TargetMode="External"/><Relationship Id="rId11" Type="http://schemas.openxmlformats.org/officeDocument/2006/relationships/hyperlink" Target="https://api.pelsung.bt/api/files/pbc_2689671926/xf7yu6r1zu3gqx4/11702001098_photo_ufm53v87o3.JPG" TargetMode="External"/><Relationship Id="rId24" Type="http://schemas.openxmlformats.org/officeDocument/2006/relationships/hyperlink" Target="https://api.pelsung.bt/api/files/pbc_2689671926/1o2gin7qx5w0h9k/11607002683_certificate_d3b2rr1d5a.pdf" TargetMode="External"/><Relationship Id="rId32" Type="http://schemas.openxmlformats.org/officeDocument/2006/relationships/hyperlink" Target="https://api.pelsung.bt/api/files/pbc_2689671926/imek116sqicddkw/10303002476_photo_to9sd1ks8n.jpg" TargetMode="External"/><Relationship Id="rId37" Type="http://schemas.openxmlformats.org/officeDocument/2006/relationships/hyperlink" Target="https://api.pelsung.bt/api/files/pbc_2689671926/s5ew8vrlds2eq0h/11910002351_cv_xnvm4galyu.pdf" TargetMode="External"/><Relationship Id="rId40" Type="http://schemas.openxmlformats.org/officeDocument/2006/relationships/hyperlink" Target="https://api.pelsung.bt/api/files/pbc_2689671926/8pmrcgzje2dn9qe/11703000545_cv_8kr36rcmng.pdf" TargetMode="External"/><Relationship Id="rId45" Type="http://schemas.openxmlformats.org/officeDocument/2006/relationships/hyperlink" Target="https://api.pelsung.bt/api/files/pbc_2689671926/pocpralnh63cq6m/11607003091_certificate_vh5crgglxt.pdf" TargetMode="External"/><Relationship Id="rId53" Type="http://schemas.openxmlformats.org/officeDocument/2006/relationships/hyperlink" Target="https://api.pelsung.bt/api/files/pbc_2689671926/3gc12g6eysshk0e/11102004858_photo_ekbea8bclr.jpg" TargetMode="External"/><Relationship Id="rId58" Type="http://schemas.openxmlformats.org/officeDocument/2006/relationships/hyperlink" Target="https://api.pelsung.bt/api/files/pbc_2689671926/501o003uddenmzk/11510004288_cv_v45lxgydup.pdf" TargetMode="External"/><Relationship Id="rId5" Type="http://schemas.openxmlformats.org/officeDocument/2006/relationships/hyperlink" Target="https://api.pelsung.bt/api/files/pbc_2689671926/tm1fvo6i1hfy1zu/11305000748_cv_ge3a66e9th.pdf" TargetMode="External"/><Relationship Id="rId61" Type="http://schemas.openxmlformats.org/officeDocument/2006/relationships/hyperlink" Target="https://api.pelsung.bt/api/files/pbc_2689671926/qi99khpv8c9qhsb/10713002498_cv_nu34lrygro.pdf" TargetMode="External"/><Relationship Id="rId19" Type="http://schemas.openxmlformats.org/officeDocument/2006/relationships/hyperlink" Target="https://api.pelsung.bt/api/files/pbc_2689671926/iupk16mjs004od3/10204002349_cv_trhfwijajz.pdf" TargetMode="External"/><Relationship Id="rId14" Type="http://schemas.openxmlformats.org/officeDocument/2006/relationships/hyperlink" Target="https://api.pelsung.bt/api/files/pbc_2689671926/239n3amm7doi4qp/11106003860_photo_k2bjq3umkt.jpeg" TargetMode="External"/><Relationship Id="rId22" Type="http://schemas.openxmlformats.org/officeDocument/2006/relationships/hyperlink" Target="https://api.pelsung.bt/api/files/pbc_2689671926/8fd9crudmlkgokt/11514003452_cv_6q8f48pdsk.pdf" TargetMode="External"/><Relationship Id="rId27" Type="http://schemas.openxmlformats.org/officeDocument/2006/relationships/hyperlink" Target="https://api.pelsung.bt/api/files/pbc_2689671926/ipfhbzvyk2n1bxs/11211001345_certificate_oh5gj0jdta.pdf" TargetMode="External"/><Relationship Id="rId30" Type="http://schemas.openxmlformats.org/officeDocument/2006/relationships/hyperlink" Target="https://api.pelsung.bt/api/files/pbc_2689671926/imek116sqicddkw/10303002476_certificate_5jljeqtcua.pdf" TargetMode="External"/><Relationship Id="rId35" Type="http://schemas.openxmlformats.org/officeDocument/2006/relationships/hyperlink" Target="https://api.pelsung.bt/api/files/pbc_2689671926/smmudor19iugt0g/10903003513_photo_og9pmkprp2.jpeg" TargetMode="External"/><Relationship Id="rId43" Type="http://schemas.openxmlformats.org/officeDocument/2006/relationships/hyperlink" Target="https://api.pelsung.bt/api/files/pbc_2689671926/phm30pv595k8be2/11509001632_cv_mautptakj4.pdf" TargetMode="External"/><Relationship Id="rId48" Type="http://schemas.openxmlformats.org/officeDocument/2006/relationships/hyperlink" Target="https://api.pelsung.bt/api/files/pbc_2689671926/7w0s47nhbrybk8f/10701001670_certificate_mr74lnksxz.pdf" TargetMode="External"/><Relationship Id="rId56" Type="http://schemas.openxmlformats.org/officeDocument/2006/relationships/hyperlink" Target="https://api.pelsung.bt/api/files/pbc_2689671926/uwixm8c3bflbngv/10810001395_photo_c92glshygu.JPG" TargetMode="External"/><Relationship Id="rId8" Type="http://schemas.openxmlformats.org/officeDocument/2006/relationships/hyperlink" Target="mailto:kezangnima2003@gmail.com" TargetMode="External"/><Relationship Id="rId51" Type="http://schemas.openxmlformats.org/officeDocument/2006/relationships/hyperlink" Target="https://api.pelsung.bt/api/files/pbc_2689671926/3gc12g6eysshk0e/11102004858_certificate_aez62whx35.pdf" TargetMode="External"/><Relationship Id="rId3" Type="http://schemas.openxmlformats.org/officeDocument/2006/relationships/hyperlink" Target="https://api.pelsung.bt/api/files/pbc_2689671926/czud1ae2hn9mkoc/10904003369_photo_qic9zl4wmp.jpg" TargetMode="External"/><Relationship Id="rId12" Type="http://schemas.openxmlformats.org/officeDocument/2006/relationships/hyperlink" Target="https://api.pelsung.bt/api/files/pbc_2689671926/239n3amm7doi4qp/11106003860_certificate_r9ht6hc06l.pdf" TargetMode="External"/><Relationship Id="rId17" Type="http://schemas.openxmlformats.org/officeDocument/2006/relationships/hyperlink" Target="https://api.pelsung.bt/api/files/pbc_2689671926/zsgxriord9v16lc/10303000493_photo_xktpim98pw.jpg" TargetMode="External"/><Relationship Id="rId25" Type="http://schemas.openxmlformats.org/officeDocument/2006/relationships/hyperlink" Target="https://api.pelsung.bt/api/files/pbc_2689671926/1o2gin7qx5w0h9k/11607002683_cv_otoqkn501i.docx" TargetMode="External"/><Relationship Id="rId33" Type="http://schemas.openxmlformats.org/officeDocument/2006/relationships/hyperlink" Target="https://api.pelsung.bt/api/files/pbc_2689671926/smmudor19iugt0g/10903003513_certificate_3r2tyn9qvu.jpeg" TargetMode="External"/><Relationship Id="rId38" Type="http://schemas.openxmlformats.org/officeDocument/2006/relationships/hyperlink" Target="https://api.pelsung.bt/api/files/pbc_2689671926/s5ew8vrlds2eq0h/11910002351_photo_0u609x7okr.jpg" TargetMode="External"/><Relationship Id="rId46" Type="http://schemas.openxmlformats.org/officeDocument/2006/relationships/hyperlink" Target="https://api.pelsung.bt/api/files/pbc_2689671926/pocpralnh63cq6m/11607003091_cv_76xk542dpe.pdf" TargetMode="External"/><Relationship Id="rId59" Type="http://schemas.openxmlformats.org/officeDocument/2006/relationships/hyperlink" Target="https://api.pelsung.bt/api/files/pbc_2689671926/501o003uddenmzk/11510004288_photo_2rfw2tpftm.jpg" TargetMode="External"/><Relationship Id="rId20" Type="http://schemas.openxmlformats.org/officeDocument/2006/relationships/hyperlink" Target="https://api.pelsung.bt/api/files/pbc_2689671926/iupk16mjs004od3/10204002349_photo_rfgrzuujg1.png" TargetMode="External"/><Relationship Id="rId41" Type="http://schemas.openxmlformats.org/officeDocument/2006/relationships/hyperlink" Target="https://api.pelsung.bt/api/files/pbc_2689671926/8pmrcgzje2dn9qe/11703000545_photo_95i8pwy0g6.png" TargetMode="External"/><Relationship Id="rId54" Type="http://schemas.openxmlformats.org/officeDocument/2006/relationships/hyperlink" Target="https://api.pelsung.bt/api/files/pbc_2689671926/uwixm8c3bflbngv/10810001395_certificate_cttsgyweky.pdf" TargetMode="External"/><Relationship Id="rId62" Type="http://schemas.openxmlformats.org/officeDocument/2006/relationships/hyperlink" Target="https://api.pelsung.bt/api/files/pbc_2689671926/qi99khpv8c9qhsb/10713002498_photo_1qkqe5w423.jpg" TargetMode="External"/><Relationship Id="rId1" Type="http://schemas.openxmlformats.org/officeDocument/2006/relationships/hyperlink" Target="https://api.pelsung.bt/api/files/pbc_2689671926/czud1ae2hn9mkoc/10904003369_certificate_pgj53xw9up.pdf" TargetMode="External"/><Relationship Id="rId6" Type="http://schemas.openxmlformats.org/officeDocument/2006/relationships/hyperlink" Target="https://api.pelsung.bt/api/files/pbc_2689671926/tm1fvo6i1hfy1zu/11305000748_photo_yxvbjx8sjf.jpeg" TargetMode="External"/><Relationship Id="rId15" Type="http://schemas.openxmlformats.org/officeDocument/2006/relationships/hyperlink" Target="https://api.pelsung.bt/api/files/pbc_2689671926/zsgxriord9v16lc/10303000493_certificate_avxx1u3rzf.jpg" TargetMode="External"/><Relationship Id="rId23" Type="http://schemas.openxmlformats.org/officeDocument/2006/relationships/hyperlink" Target="https://api.pelsung.bt/api/files/pbc_2689671926/8fd9crudmlkgokt/11514003452_photo_ibz7y01ax7.jpg" TargetMode="External"/><Relationship Id="rId28" Type="http://schemas.openxmlformats.org/officeDocument/2006/relationships/hyperlink" Target="https://api.pelsung.bt/api/files/pbc_2689671926/ipfhbzvyk2n1bxs/11211001345_cv_mdd2ann7au.pdf" TargetMode="External"/><Relationship Id="rId36" Type="http://schemas.openxmlformats.org/officeDocument/2006/relationships/hyperlink" Target="https://api.pelsung.bt/api/files/pbc_2689671926/s5ew8vrlds2eq0h/11910002351_certificate_obzjhmqk8b.pdf" TargetMode="External"/><Relationship Id="rId49" Type="http://schemas.openxmlformats.org/officeDocument/2006/relationships/hyperlink" Target="https://api.pelsung.bt/api/files/pbc_2689671926/7w0s47nhbrybk8f/10701001670_cv_lrgrigqe55.docx" TargetMode="External"/><Relationship Id="rId57" Type="http://schemas.openxmlformats.org/officeDocument/2006/relationships/hyperlink" Target="https://api.pelsung.bt/api/files/pbc_2689671926/501o003uddenmzk/11510004288_certificate_b81iv8bntp.pdf" TargetMode="External"/><Relationship Id="rId10" Type="http://schemas.openxmlformats.org/officeDocument/2006/relationships/hyperlink" Target="https://api.pelsung.bt/api/files/pbc_2689671926/xf7yu6r1zu3gqx4/11702001098_cv_2b0h5gm23k.pdf" TargetMode="External"/><Relationship Id="rId31" Type="http://schemas.openxmlformats.org/officeDocument/2006/relationships/hyperlink" Target="https://api.pelsung.bt/api/files/pbc_2689671926/imek116sqicddkw/10303002476_cv_hdboy1lm97.pdf" TargetMode="External"/><Relationship Id="rId44" Type="http://schemas.openxmlformats.org/officeDocument/2006/relationships/hyperlink" Target="https://api.pelsung.bt/api/files/pbc_2689671926/phm30pv595k8be2/11509001632_photo_9t1h3u8741.JPG" TargetMode="External"/><Relationship Id="rId52" Type="http://schemas.openxmlformats.org/officeDocument/2006/relationships/hyperlink" Target="https://api.pelsung.bt/api/files/pbc_2689671926/3gc12g6eysshk0e/11102004858_cv_6c0wy020ps.pdf" TargetMode="External"/><Relationship Id="rId60" Type="http://schemas.openxmlformats.org/officeDocument/2006/relationships/hyperlink" Target="https://api.pelsung.bt/api/files/pbc_2689671926/qi99khpv8c9qhsb/10713002498_certificate_xh8zvx9ilc.pdf" TargetMode="External"/><Relationship Id="rId4" Type="http://schemas.openxmlformats.org/officeDocument/2006/relationships/hyperlink" Target="https://api.pelsung.bt/api/files/pbc_2689671926/tm1fvo6i1hfy1zu/11305000748_certificate_3wwa1eu2g5.pdf" TargetMode="External"/><Relationship Id="rId9" Type="http://schemas.openxmlformats.org/officeDocument/2006/relationships/hyperlink" Target="https://api.pelsung.bt/api/files/pbc_2689671926/xf7yu6r1zu3gqx4/11702001098_certificate_128axtbaks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pelsung.bt/api/files/pbc_2689671926/viy0haudm7hewn7/11504004571_cv_fpp6feftr0.pdf" TargetMode="External"/><Relationship Id="rId13" Type="http://schemas.openxmlformats.org/officeDocument/2006/relationships/hyperlink" Target="https://api.pelsung.bt/api/files/pbc_2689671926/2cuwacan8e7q4wr/11410007218_certificate_zctmw9s75r.pdf" TargetMode="External"/><Relationship Id="rId18" Type="http://schemas.openxmlformats.org/officeDocument/2006/relationships/hyperlink" Target="https://api.pelsung.bt/api/files/pbc_2689671926/rhck3b3x1cfqwsf/10705003593_photo_nmmmhef4wr.jpg" TargetMode="External"/><Relationship Id="rId3" Type="http://schemas.openxmlformats.org/officeDocument/2006/relationships/hyperlink" Target="https://api.pelsung.bt/api/files/pbc_2689671926/zy3p6c1q819255c/11601001508_photo_9rtye62pyg.jpeg" TargetMode="External"/><Relationship Id="rId7" Type="http://schemas.openxmlformats.org/officeDocument/2006/relationships/hyperlink" Target="https://api.pelsung.bt/api/files/pbc_2689671926/viy0haudm7hewn7/11504004571_certificate_nlm3vxznze.jpg" TargetMode="External"/><Relationship Id="rId12" Type="http://schemas.openxmlformats.org/officeDocument/2006/relationships/hyperlink" Target="https://api.pelsung.bt/api/files/pbc_2689671926/v45ag1z48vlqv8f/10708003392_photo_rud6ql79zd.jpg" TargetMode="External"/><Relationship Id="rId17" Type="http://schemas.openxmlformats.org/officeDocument/2006/relationships/hyperlink" Target="https://api.pelsung.bt/api/files/pbc_2689671926/rhck3b3x1cfqwsf/10705003593_cv_badai8ztq3.pdf" TargetMode="External"/><Relationship Id="rId2" Type="http://schemas.openxmlformats.org/officeDocument/2006/relationships/hyperlink" Target="https://api.pelsung.bt/api/files/pbc_2689671926/zy3p6c1q819255c/11601001508_cv_9sqp7aoibz.pdf" TargetMode="External"/><Relationship Id="rId16" Type="http://schemas.openxmlformats.org/officeDocument/2006/relationships/hyperlink" Target="https://api.pelsung.bt/api/files/pbc_2689671926/rhck3b3x1cfqwsf/10705003593_certificate_f647aa1q35.pdf" TargetMode="External"/><Relationship Id="rId1" Type="http://schemas.openxmlformats.org/officeDocument/2006/relationships/hyperlink" Target="https://api.pelsung.bt/api/files/pbc_2689671926/zy3p6c1q819255c/11601001508_certificate_p6lqma8zoo.jpeg" TargetMode="External"/><Relationship Id="rId6" Type="http://schemas.openxmlformats.org/officeDocument/2006/relationships/hyperlink" Target="https://api.pelsung.bt/api/files/pbc_2689671926/kmf8on3ncti49we/11512006569_photo_697okkfjt0.jpg" TargetMode="External"/><Relationship Id="rId11" Type="http://schemas.openxmlformats.org/officeDocument/2006/relationships/hyperlink" Target="https://api.pelsung.bt/api/files/pbc_2689671926/v45ag1z48vlqv8f/10708003392_cv_7zq4n8gcil.pdf" TargetMode="External"/><Relationship Id="rId5" Type="http://schemas.openxmlformats.org/officeDocument/2006/relationships/hyperlink" Target="https://api.pelsung.bt/api/files/pbc_2689671926/kmf8on3ncti49we/11512006569_cv_io54n8vb6u.pdf" TargetMode="External"/><Relationship Id="rId15" Type="http://schemas.openxmlformats.org/officeDocument/2006/relationships/hyperlink" Target="https://api.pelsung.bt/api/files/pbc_2689671926/2cuwacan8e7q4wr/11410007218_photo_kkn4f6uu95.jpeg" TargetMode="External"/><Relationship Id="rId10" Type="http://schemas.openxmlformats.org/officeDocument/2006/relationships/hyperlink" Target="https://api.pelsung.bt/api/files/pbc_2689671926/v45ag1z48vlqv8f/10708003392_certificate_qh7iyukkxz.pdf" TargetMode="External"/><Relationship Id="rId19" Type="http://schemas.openxmlformats.org/officeDocument/2006/relationships/table" Target="../tables/table2.xml"/><Relationship Id="rId4" Type="http://schemas.openxmlformats.org/officeDocument/2006/relationships/hyperlink" Target="https://api.pelsung.bt/api/files/pbc_2689671926/kmf8on3ncti49we/11512006569_certificate_tootkn2h9r.pdf" TargetMode="External"/><Relationship Id="rId9" Type="http://schemas.openxmlformats.org/officeDocument/2006/relationships/hyperlink" Target="https://api.pelsung.bt/api/files/pbc_2689671926/viy0haudm7hewn7/11504004571_photo_l14hm0jya4.JPG" TargetMode="External"/><Relationship Id="rId14" Type="http://schemas.openxmlformats.org/officeDocument/2006/relationships/hyperlink" Target="https://api.pelsung.bt/api/files/pbc_2689671926/2cuwacan8e7q4wr/11410007218_cv_vqhtt7e4sg.docx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api.pelsung.bt/api/files/pbc_2689671926/klg7gwf5tb4ejjc/11501002581_certificate_1fs2n57pls.jpg" TargetMode="External"/><Relationship Id="rId18" Type="http://schemas.openxmlformats.org/officeDocument/2006/relationships/hyperlink" Target="https://api.pelsung.bt/api/files/pbc_2689671926/8xg9oxaxej9i3wc/11608002636_photo_kyho3shs6p.jpg" TargetMode="External"/><Relationship Id="rId26" Type="http://schemas.openxmlformats.org/officeDocument/2006/relationships/hyperlink" Target="https://api.pelsung.bt/api/files/pbc_2689671926/z5wuko2ke9zen8f/12008003646_cv_azfindvay5.pdf" TargetMode="External"/><Relationship Id="rId39" Type="http://schemas.openxmlformats.org/officeDocument/2006/relationships/hyperlink" Target="https://api.pelsung.bt/api/files/pbc_2689671926/f1h1k1gezivhy69/10905002191_cv_nt5l0aqjre.pdf" TargetMode="External"/><Relationship Id="rId21" Type="http://schemas.openxmlformats.org/officeDocument/2006/relationships/hyperlink" Target="https://api.pelsung.bt/api/files/pbc_2689671926/kq1l19h0opsdtgv/11102006389_photo_uajfb5t7zc.png" TargetMode="External"/><Relationship Id="rId34" Type="http://schemas.openxmlformats.org/officeDocument/2006/relationships/hyperlink" Target="https://api.pelsung.bt/api/files/pbc_2689671926/9c7t5prng1p72az/11908000413_certificate_jzvcij9h8n.pdf" TargetMode="External"/><Relationship Id="rId42" Type="http://schemas.openxmlformats.org/officeDocument/2006/relationships/hyperlink" Target="https://api.pelsung.bt/api/files/pbc_2689671926/tdv3sqvcrpis9i5/11009001884_cv_l7616y1emi.pdf" TargetMode="External"/><Relationship Id="rId47" Type="http://schemas.openxmlformats.org/officeDocument/2006/relationships/hyperlink" Target="https://api.pelsung.bt/api/files/pbc_2689671926/bakp033bmj8gpuh/11508004479_certificate_s2xe77zcfx.jpg" TargetMode="External"/><Relationship Id="rId50" Type="http://schemas.openxmlformats.org/officeDocument/2006/relationships/table" Target="../tables/table3.xml"/><Relationship Id="rId7" Type="http://schemas.openxmlformats.org/officeDocument/2006/relationships/hyperlink" Target="https://api.pelsung.bt/api/files/pbc_2689671926/ibo3hy64zqgrlev/11301003461_certificate_7odcsj3bza.pdf" TargetMode="External"/><Relationship Id="rId2" Type="http://schemas.openxmlformats.org/officeDocument/2006/relationships/hyperlink" Target="https://api.pelsung.bt/api/files/pbc_2689671926/rboi3f2mk0p7pej/11208000546_cv_pw5dbh6rvz.pdf" TargetMode="External"/><Relationship Id="rId16" Type="http://schemas.openxmlformats.org/officeDocument/2006/relationships/hyperlink" Target="https://api.pelsung.bt/api/files/pbc_2689671926/8xg9oxaxej9i3wc/11608002636_certificate_fnm1lemsei.pdf" TargetMode="External"/><Relationship Id="rId29" Type="http://schemas.openxmlformats.org/officeDocument/2006/relationships/hyperlink" Target="https://api.pelsung.bt/api/files/pbc_2689671926/vyt5l1pi12p27ez/11410004075_cv_60c5sicjc7.pdf" TargetMode="External"/><Relationship Id="rId11" Type="http://schemas.openxmlformats.org/officeDocument/2006/relationships/hyperlink" Target="https://api.pelsung.bt/api/files/pbc_2689671926/s1dl9iodfxwxe17/12005003174_cv_jeulsfp9py.pdf" TargetMode="External"/><Relationship Id="rId24" Type="http://schemas.openxmlformats.org/officeDocument/2006/relationships/hyperlink" Target="https://api.pelsung.bt/api/files/pbc_2689671926/f9liga80zh7p6f2/11503004814_photo_8wg5e1xdiz.jpg" TargetMode="External"/><Relationship Id="rId32" Type="http://schemas.openxmlformats.org/officeDocument/2006/relationships/hyperlink" Target="https://api.pelsung.bt/api/files/pbc_2689671926/1oz0ngm6slprzst/11501003508_cv_zb281q3mdm.pdf" TargetMode="External"/><Relationship Id="rId37" Type="http://schemas.openxmlformats.org/officeDocument/2006/relationships/hyperlink" Target="mailto:phublham143506@gmail.com" TargetMode="External"/><Relationship Id="rId40" Type="http://schemas.openxmlformats.org/officeDocument/2006/relationships/hyperlink" Target="https://api.pelsung.bt/api/files/pbc_2689671926/f1h1k1gezivhy69/10905002191_photo_dxy94xs35d.jpg" TargetMode="External"/><Relationship Id="rId45" Type="http://schemas.openxmlformats.org/officeDocument/2006/relationships/hyperlink" Target="https://api.pelsung.bt/api/files/pbc_2689671926/pobcnya5naouzia/11405000448_cv_s6u50vz2l5.pdf" TargetMode="External"/><Relationship Id="rId5" Type="http://schemas.openxmlformats.org/officeDocument/2006/relationships/hyperlink" Target="https://api.pelsung.bt/api/files/pbc_2689671926/xf2d2tz5e4vpmjo/11206005505_cv_g2qu6n7liy.pdf" TargetMode="External"/><Relationship Id="rId15" Type="http://schemas.openxmlformats.org/officeDocument/2006/relationships/hyperlink" Target="https://api.pelsung.bt/api/files/pbc_2689671926/klg7gwf5tb4ejjc/11501002581_photo_n67wklev1a.jpg" TargetMode="External"/><Relationship Id="rId23" Type="http://schemas.openxmlformats.org/officeDocument/2006/relationships/hyperlink" Target="https://api.pelsung.bt/api/files/pbc_2689671926/f9liga80zh7p6f2/11503004814_cv_2vvgyx0o3f.pdf" TargetMode="External"/><Relationship Id="rId28" Type="http://schemas.openxmlformats.org/officeDocument/2006/relationships/hyperlink" Target="https://api.pelsung.bt/api/files/pbc_2689671926/vyt5l1pi12p27ez/11410004075_certificate_5e8n4katdi.docx" TargetMode="External"/><Relationship Id="rId36" Type="http://schemas.openxmlformats.org/officeDocument/2006/relationships/hyperlink" Target="https://api.pelsung.bt/api/files/pbc_2689671926/9c7t5prng1p72az/11908000413_photo_jgfie1qo0u.jpeg" TargetMode="External"/><Relationship Id="rId49" Type="http://schemas.openxmlformats.org/officeDocument/2006/relationships/hyperlink" Target="https://api.pelsung.bt/api/files/pbc_2689671926/bakp033bmj8gpuh/11508004479_photo_x60s0ax6ki.jpg" TargetMode="External"/><Relationship Id="rId10" Type="http://schemas.openxmlformats.org/officeDocument/2006/relationships/hyperlink" Target="https://api.pelsung.bt/api/files/pbc_2689671926/s1dl9iodfxwxe17/12005003174_certificate_ehabrz5kax.jpg" TargetMode="External"/><Relationship Id="rId19" Type="http://schemas.openxmlformats.org/officeDocument/2006/relationships/hyperlink" Target="https://api.pelsung.bt/api/files/pbc_2689671926/kq1l19h0opsdtgv/11102006389_certificate_2q0b5wiodu.pdf" TargetMode="External"/><Relationship Id="rId31" Type="http://schemas.openxmlformats.org/officeDocument/2006/relationships/hyperlink" Target="https://api.pelsung.bt/api/files/pbc_2689671926/1oz0ngm6slprzst/11501003508_certificate_i2q39n27sl.pdf" TargetMode="External"/><Relationship Id="rId44" Type="http://schemas.openxmlformats.org/officeDocument/2006/relationships/hyperlink" Target="https://api.pelsung.bt/api/files/pbc_2689671926/pobcnya5naouzia/11405000448_certificate_3zfdf8hspt.pdf" TargetMode="External"/><Relationship Id="rId4" Type="http://schemas.openxmlformats.org/officeDocument/2006/relationships/hyperlink" Target="https://api.pelsung.bt/api/files/pbc_2689671926/xf2d2tz5e4vpmjo/11206005505_certificate_ewkqs6eqnq.pdf" TargetMode="External"/><Relationship Id="rId9" Type="http://schemas.openxmlformats.org/officeDocument/2006/relationships/hyperlink" Target="https://api.pelsung.bt/api/files/pbc_2689671926/ibo3hy64zqgrlev/11301003461_photo_0avvwsvfss.JPG" TargetMode="External"/><Relationship Id="rId14" Type="http://schemas.openxmlformats.org/officeDocument/2006/relationships/hyperlink" Target="https://api.pelsung.bt/api/files/pbc_2689671926/klg7gwf5tb4ejjc/11501002581_cv_j8hgxshczx.pdf" TargetMode="External"/><Relationship Id="rId22" Type="http://schemas.openxmlformats.org/officeDocument/2006/relationships/hyperlink" Target="https://api.pelsung.bt/api/files/pbc_2689671926/f9liga80zh7p6f2/11503004814_certificate_v64rijogtz.pdf" TargetMode="External"/><Relationship Id="rId27" Type="http://schemas.openxmlformats.org/officeDocument/2006/relationships/hyperlink" Target="https://api.pelsung.bt/api/files/pbc_2689671926/z5wuko2ke9zen8f/12008003646_photo_wif3kkk0wo.jpeg" TargetMode="External"/><Relationship Id="rId30" Type="http://schemas.openxmlformats.org/officeDocument/2006/relationships/hyperlink" Target="https://api.pelsung.bt/api/files/pbc_2689671926/vyt5l1pi12p27ez/11410004075_photo_x05hjbby9g.jpg" TargetMode="External"/><Relationship Id="rId35" Type="http://schemas.openxmlformats.org/officeDocument/2006/relationships/hyperlink" Target="https://api.pelsung.bt/api/files/pbc_2689671926/9c7t5prng1p72az/11908000413_cv_35uj6tzgws.pdf" TargetMode="External"/><Relationship Id="rId43" Type="http://schemas.openxmlformats.org/officeDocument/2006/relationships/hyperlink" Target="https://api.pelsung.bt/api/files/pbc_2689671926/tdv3sqvcrpis9i5/11009001884_photo_4o4qga1gdj.jpg" TargetMode="External"/><Relationship Id="rId48" Type="http://schemas.openxmlformats.org/officeDocument/2006/relationships/hyperlink" Target="https://api.pelsung.bt/api/files/pbc_2689671926/bakp033bmj8gpuh/11508004479_cv_yn8alun4zs.pdf" TargetMode="External"/><Relationship Id="rId8" Type="http://schemas.openxmlformats.org/officeDocument/2006/relationships/hyperlink" Target="https://api.pelsung.bt/api/files/pbc_2689671926/ibo3hy64zqgrlev/11301003461_cv_ql395er0id.pdf" TargetMode="External"/><Relationship Id="rId3" Type="http://schemas.openxmlformats.org/officeDocument/2006/relationships/hyperlink" Target="https://api.pelsung.bt/api/files/pbc_2689671926/rboi3f2mk0p7pej/11208000546_photo_sp2jz5g1mp.jpg" TargetMode="External"/><Relationship Id="rId12" Type="http://schemas.openxmlformats.org/officeDocument/2006/relationships/hyperlink" Target="https://api.pelsung.bt/api/files/pbc_2689671926/s1dl9iodfxwxe17/12005003174_photo_14qefnrdjg.png" TargetMode="External"/><Relationship Id="rId17" Type="http://schemas.openxmlformats.org/officeDocument/2006/relationships/hyperlink" Target="https://api.pelsung.bt/api/files/pbc_2689671926/8xg9oxaxej9i3wc/11608002636_cv_dbg4xiwb27.pdf" TargetMode="External"/><Relationship Id="rId25" Type="http://schemas.openxmlformats.org/officeDocument/2006/relationships/hyperlink" Target="https://api.pelsung.bt/api/files/pbc_2689671926/z5wuko2ke9zen8f/12008003646_certificate_fbopwt1bmx.jpeg" TargetMode="External"/><Relationship Id="rId33" Type="http://schemas.openxmlformats.org/officeDocument/2006/relationships/hyperlink" Target="https://api.pelsung.bt/api/files/pbc_2689671926/1oz0ngm6slprzst/11501003508_photo_neknqz718r.jpg" TargetMode="External"/><Relationship Id="rId38" Type="http://schemas.openxmlformats.org/officeDocument/2006/relationships/hyperlink" Target="https://api.pelsung.bt/api/files/pbc_2689671926/f1h1k1gezivhy69/10905002191_certificate_hit1qvjdqt.pdf" TargetMode="External"/><Relationship Id="rId46" Type="http://schemas.openxmlformats.org/officeDocument/2006/relationships/hyperlink" Target="https://api.pelsung.bt/api/files/pbc_2689671926/pobcnya5naouzia/11405000448_photo_m0gxfr3zhn.jpg" TargetMode="External"/><Relationship Id="rId20" Type="http://schemas.openxmlformats.org/officeDocument/2006/relationships/hyperlink" Target="https://api.pelsung.bt/api/files/pbc_2689671926/kq1l19h0opsdtgv/11102006389_cv_4b54aur4ix.pdf" TargetMode="External"/><Relationship Id="rId41" Type="http://schemas.openxmlformats.org/officeDocument/2006/relationships/hyperlink" Target="https://api.pelsung.bt/api/files/pbc_2689671926/tdv3sqvcrpis9i5/11009001884_certificate_knhl192aoy.pdf" TargetMode="External"/><Relationship Id="rId1" Type="http://schemas.openxmlformats.org/officeDocument/2006/relationships/hyperlink" Target="https://api.pelsung.bt/api/files/pbc_2689671926/rboi3f2mk0p7pej/11208000546_certificate_5ndz99i55f.jpeg" TargetMode="External"/><Relationship Id="rId6" Type="http://schemas.openxmlformats.org/officeDocument/2006/relationships/hyperlink" Target="https://api.pelsung.bt/api/files/pbc_2689671926/xf2d2tz5e4vpmjo/11206005505_photo_2s4jndsmgi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F2A8-8540-493B-A6B0-1D33B1163EC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opLeftCell="B1" workbookViewId="0">
      <selection activeCell="D21" sqref="D21"/>
    </sheetView>
  </sheetViews>
  <sheetFormatPr defaultRowHeight="15"/>
  <cols>
    <col min="1" max="1" width="30.85546875" customWidth="1"/>
    <col min="2" max="2" width="89.7109375" customWidth="1"/>
    <col min="3" max="3" width="51.28515625" customWidth="1"/>
    <col min="4" max="4" width="32" customWidth="1"/>
    <col min="5" max="5" width="15" customWidth="1"/>
    <col min="6" max="6" width="13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s="32" customFormat="1" ht="76.5">
      <c r="A2" s="32" t="s">
        <v>5</v>
      </c>
      <c r="B2" s="33" t="s">
        <v>6</v>
      </c>
      <c r="C2" s="33" t="s">
        <v>7</v>
      </c>
      <c r="D2" s="32" t="s">
        <v>8</v>
      </c>
      <c r="E2" s="32" t="s">
        <v>8</v>
      </c>
    </row>
    <row r="3" spans="1:6" s="32" customFormat="1" ht="45.75">
      <c r="A3" s="32" t="s">
        <v>9</v>
      </c>
      <c r="B3" s="33" t="s">
        <v>10</v>
      </c>
      <c r="D3" s="32" t="s">
        <v>8</v>
      </c>
      <c r="E3" s="32" t="s">
        <v>8</v>
      </c>
    </row>
    <row r="4" spans="1:6" s="32" customFormat="1" ht="30.75">
      <c r="A4" s="32" t="s">
        <v>11</v>
      </c>
      <c r="B4" s="33" t="s">
        <v>12</v>
      </c>
      <c r="D4" s="32" t="s">
        <v>8</v>
      </c>
      <c r="E4" s="32" t="s">
        <v>8</v>
      </c>
    </row>
    <row r="5" spans="1:6" s="6" customFormat="1">
      <c r="A5" s="6" t="s">
        <v>13</v>
      </c>
      <c r="B5" s="6" t="s">
        <v>14</v>
      </c>
      <c r="D5" s="6" t="s">
        <v>15</v>
      </c>
      <c r="E5" s="6" t="s">
        <v>15</v>
      </c>
    </row>
    <row r="6" spans="1:6" s="32" customFormat="1" ht="30.75">
      <c r="A6" s="32" t="s">
        <v>16</v>
      </c>
      <c r="B6" s="33" t="s">
        <v>17</v>
      </c>
      <c r="C6" s="32" t="s">
        <v>18</v>
      </c>
      <c r="D6" s="32" t="s">
        <v>19</v>
      </c>
      <c r="E6" s="32" t="s">
        <v>20</v>
      </c>
    </row>
    <row r="7" spans="1:6" ht="30.75">
      <c r="A7" t="s">
        <v>21</v>
      </c>
      <c r="B7" s="1" t="s">
        <v>22</v>
      </c>
      <c r="D7" t="s">
        <v>23</v>
      </c>
      <c r="E7" s="5" t="s">
        <v>23</v>
      </c>
    </row>
    <row r="8" spans="1:6" s="6" customFormat="1">
      <c r="A8" s="6" t="s">
        <v>24</v>
      </c>
      <c r="B8" s="6" t="s">
        <v>25</v>
      </c>
      <c r="D8" s="6" t="s">
        <v>15</v>
      </c>
      <c r="E8" s="6" t="s">
        <v>15</v>
      </c>
    </row>
    <row r="9" spans="1:6" s="32" customFormat="1" ht="30.75">
      <c r="A9" s="32" t="s">
        <v>26</v>
      </c>
      <c r="B9" s="33" t="s">
        <v>27</v>
      </c>
      <c r="D9" s="32" t="s">
        <v>20</v>
      </c>
      <c r="E9" s="32" t="s">
        <v>20</v>
      </c>
    </row>
    <row r="10" spans="1:6" s="30" customFormat="1">
      <c r="A10" s="30" t="s">
        <v>28</v>
      </c>
      <c r="D10" s="30" t="s">
        <v>8</v>
      </c>
      <c r="E10" s="30" t="s">
        <v>8</v>
      </c>
    </row>
    <row r="11" spans="1:6" s="32" customFormat="1" ht="45.75">
      <c r="A11" s="32" t="s">
        <v>29</v>
      </c>
      <c r="B11" s="33" t="s">
        <v>30</v>
      </c>
      <c r="D11" s="32" t="s">
        <v>20</v>
      </c>
      <c r="E11" s="32" t="s">
        <v>20</v>
      </c>
    </row>
    <row r="12" spans="1:6" s="13" customFormat="1">
      <c r="A12" s="13" t="s">
        <v>31</v>
      </c>
      <c r="B12" s="13" t="s">
        <v>32</v>
      </c>
      <c r="D12" s="13" t="s">
        <v>23</v>
      </c>
      <c r="E12" s="22" t="s">
        <v>23</v>
      </c>
    </row>
    <row r="13" spans="1:6" s="32" customFormat="1" ht="30.75">
      <c r="A13" s="32" t="s">
        <v>33</v>
      </c>
      <c r="B13" s="33" t="s">
        <v>34</v>
      </c>
      <c r="D13" s="32" t="s">
        <v>20</v>
      </c>
      <c r="E13" s="32" t="s">
        <v>20</v>
      </c>
    </row>
    <row r="14" spans="1:6" s="32" customFormat="1" ht="45.75">
      <c r="A14" s="43" t="s">
        <v>35</v>
      </c>
      <c r="B14" s="33" t="s">
        <v>36</v>
      </c>
      <c r="C14" s="32" t="s">
        <v>37</v>
      </c>
      <c r="D14" s="32" t="s">
        <v>8</v>
      </c>
      <c r="E14" s="32" t="s">
        <v>8</v>
      </c>
    </row>
    <row r="15" spans="1:6" s="6" customFormat="1" ht="60.75">
      <c r="A15" s="6" t="s">
        <v>38</v>
      </c>
      <c r="B15" s="29" t="s">
        <v>39</v>
      </c>
      <c r="C15" s="6" t="s">
        <v>40</v>
      </c>
      <c r="D15" s="6" t="s">
        <v>15</v>
      </c>
      <c r="E15" s="6" t="s">
        <v>15</v>
      </c>
      <c r="F15" s="6" t="s">
        <v>41</v>
      </c>
    </row>
    <row r="16" spans="1:6" s="32" customFormat="1" ht="30.75">
      <c r="A16" s="32" t="s">
        <v>42</v>
      </c>
      <c r="B16" s="33" t="s">
        <v>43</v>
      </c>
      <c r="C16" s="32" t="s">
        <v>40</v>
      </c>
      <c r="D16" s="32" t="s">
        <v>20</v>
      </c>
      <c r="E16" s="32" t="s">
        <v>20</v>
      </c>
    </row>
    <row r="17" spans="1:5" s="32" customFormat="1" ht="30.75">
      <c r="A17" s="32" t="s">
        <v>44</v>
      </c>
      <c r="B17" s="33" t="s">
        <v>45</v>
      </c>
      <c r="C17" s="33" t="s">
        <v>46</v>
      </c>
      <c r="D17" s="32" t="s">
        <v>8</v>
      </c>
      <c r="E17" s="32" t="s">
        <v>8</v>
      </c>
    </row>
    <row r="18" spans="1:5" s="32" customFormat="1" ht="30.75">
      <c r="A18" s="32" t="s">
        <v>47</v>
      </c>
      <c r="B18" s="33" t="s">
        <v>48</v>
      </c>
      <c r="D18" s="32" t="s">
        <v>20</v>
      </c>
      <c r="E18" s="32" t="s">
        <v>20</v>
      </c>
    </row>
    <row r="19" spans="1:5" ht="60.75">
      <c r="A19" t="s">
        <v>49</v>
      </c>
      <c r="B19" s="1" t="s">
        <v>50</v>
      </c>
      <c r="D19" t="s">
        <v>23</v>
      </c>
      <c r="E19" t="s">
        <v>23</v>
      </c>
    </row>
    <row r="20" spans="1:5" ht="45.75">
      <c r="A20" t="s">
        <v>51</v>
      </c>
      <c r="B20" s="1" t="s">
        <v>52</v>
      </c>
      <c r="C20" t="s">
        <v>53</v>
      </c>
      <c r="D20" t="s">
        <v>23</v>
      </c>
      <c r="E20" t="s">
        <v>23</v>
      </c>
    </row>
    <row r="21" spans="1:5">
      <c r="A21" t="s">
        <v>54</v>
      </c>
      <c r="B21" t="s">
        <v>55</v>
      </c>
      <c r="D21" t="s">
        <v>23</v>
      </c>
      <c r="E21" t="s">
        <v>23</v>
      </c>
    </row>
    <row r="22" spans="1:5" s="6" customFormat="1">
      <c r="A22" s="6" t="s">
        <v>56</v>
      </c>
      <c r="B22" s="6" t="s">
        <v>57</v>
      </c>
      <c r="D22" s="6" t="s">
        <v>15</v>
      </c>
      <c r="E22" s="6" t="s">
        <v>15</v>
      </c>
    </row>
    <row r="23" spans="1:5" s="32" customFormat="1" ht="30.75">
      <c r="A23" s="32" t="s">
        <v>58</v>
      </c>
      <c r="B23" s="33" t="s">
        <v>59</v>
      </c>
      <c r="C23" s="32" t="s">
        <v>40</v>
      </c>
      <c r="E23" s="32" t="s">
        <v>8</v>
      </c>
    </row>
    <row r="24" spans="1:5">
      <c r="A24" t="s">
        <v>60</v>
      </c>
      <c r="B24" t="s">
        <v>61</v>
      </c>
      <c r="D24" t="s">
        <v>23</v>
      </c>
      <c r="E24" t="s">
        <v>23</v>
      </c>
    </row>
    <row r="25" spans="1:5" ht="30.75">
      <c r="A25" t="s">
        <v>62</v>
      </c>
      <c r="B25" s="1" t="s">
        <v>63</v>
      </c>
      <c r="D25" t="s">
        <v>23</v>
      </c>
      <c r="E25" t="s">
        <v>23</v>
      </c>
    </row>
    <row r="26" spans="1:5" ht="45.75">
      <c r="A26" t="s">
        <v>64</v>
      </c>
      <c r="B26" s="1" t="s">
        <v>65</v>
      </c>
      <c r="C26" t="s">
        <v>66</v>
      </c>
      <c r="D26" t="s">
        <v>23</v>
      </c>
      <c r="E26" t="s">
        <v>23</v>
      </c>
    </row>
    <row r="27" spans="1:5" s="32" customFormat="1">
      <c r="A27" s="32" t="s">
        <v>67</v>
      </c>
      <c r="B27" s="32" t="s">
        <v>68</v>
      </c>
      <c r="D27" s="32" t="s">
        <v>19</v>
      </c>
      <c r="E27" s="32" t="s">
        <v>20</v>
      </c>
    </row>
    <row r="28" spans="1:5" ht="30.75">
      <c r="A28" t="s">
        <v>69</v>
      </c>
      <c r="B28" s="1" t="s">
        <v>70</v>
      </c>
      <c r="D28" t="s">
        <v>23</v>
      </c>
      <c r="E28" t="s">
        <v>23</v>
      </c>
    </row>
    <row r="29" spans="1:5" ht="45.75">
      <c r="A29" t="s">
        <v>71</v>
      </c>
      <c r="B29" s="1" t="s">
        <v>72</v>
      </c>
      <c r="D29" t="s">
        <v>23</v>
      </c>
      <c r="E29" t="s">
        <v>23</v>
      </c>
    </row>
    <row r="30" spans="1:5" s="32" customFormat="1" ht="30.75">
      <c r="A30" s="32" t="s">
        <v>73</v>
      </c>
      <c r="B30" s="33" t="s">
        <v>74</v>
      </c>
      <c r="D30" s="32" t="s">
        <v>20</v>
      </c>
      <c r="E30" s="32" t="s">
        <v>20</v>
      </c>
    </row>
    <row r="31" spans="1:5" s="32" customFormat="1" ht="30.75">
      <c r="A31" s="32" t="s">
        <v>75</v>
      </c>
      <c r="B31" s="33" t="s">
        <v>76</v>
      </c>
      <c r="D31" s="32" t="s">
        <v>20</v>
      </c>
      <c r="E31" s="32" t="s">
        <v>20</v>
      </c>
    </row>
    <row r="32" spans="1:5" s="32" customFormat="1" ht="30.75">
      <c r="A32" s="32" t="s">
        <v>77</v>
      </c>
      <c r="B32" s="33" t="s">
        <v>78</v>
      </c>
      <c r="D32" s="32" t="s">
        <v>8</v>
      </c>
      <c r="E32" s="32" t="s">
        <v>8</v>
      </c>
    </row>
    <row r="33" spans="1:5" s="32" customFormat="1">
      <c r="A33" s="32" t="s">
        <v>79</v>
      </c>
      <c r="D33" s="32" t="s">
        <v>19</v>
      </c>
      <c r="E33" s="32" t="s">
        <v>20</v>
      </c>
    </row>
    <row r="34" spans="1:5" ht="30.75">
      <c r="A34" t="s">
        <v>80</v>
      </c>
      <c r="B34" s="1" t="s">
        <v>81</v>
      </c>
      <c r="D34" t="s">
        <v>23</v>
      </c>
      <c r="E34" t="s">
        <v>23</v>
      </c>
    </row>
    <row r="35" spans="1:5">
      <c r="A35" t="s">
        <v>82</v>
      </c>
      <c r="B35" t="s">
        <v>83</v>
      </c>
      <c r="D35" t="s">
        <v>23</v>
      </c>
      <c r="E35" t="s">
        <v>23</v>
      </c>
    </row>
    <row r="36" spans="1:5" s="32" customFormat="1">
      <c r="A36" s="32" t="s">
        <v>84</v>
      </c>
      <c r="B36" s="32" t="s">
        <v>85</v>
      </c>
      <c r="D36" s="32" t="s">
        <v>86</v>
      </c>
      <c r="E36" s="32" t="s">
        <v>8</v>
      </c>
    </row>
    <row r="37" spans="1:5" s="32" customFormat="1">
      <c r="A37" s="32" t="s">
        <v>87</v>
      </c>
      <c r="D37" s="32" t="s">
        <v>86</v>
      </c>
      <c r="E37" s="32" t="s">
        <v>8</v>
      </c>
    </row>
    <row r="38" spans="1:5" s="32" customFormat="1" ht="30.75">
      <c r="A38" s="32" t="s">
        <v>88</v>
      </c>
      <c r="B38" s="33" t="s">
        <v>89</v>
      </c>
      <c r="D38" s="32" t="s">
        <v>8</v>
      </c>
      <c r="E38" s="32" t="s">
        <v>8</v>
      </c>
    </row>
    <row r="39" spans="1:5" s="32" customFormat="1">
      <c r="A39" s="32" t="s">
        <v>90</v>
      </c>
      <c r="B39" s="32" t="s">
        <v>91</v>
      </c>
      <c r="D39" s="32" t="s">
        <v>8</v>
      </c>
      <c r="E39" s="32" t="s">
        <v>8</v>
      </c>
    </row>
    <row r="40" spans="1:5">
      <c r="A40" t="s">
        <v>92</v>
      </c>
      <c r="B40" t="s">
        <v>93</v>
      </c>
      <c r="D40" t="s">
        <v>8</v>
      </c>
      <c r="E40" t="s">
        <v>8</v>
      </c>
    </row>
    <row r="41" spans="1:5">
      <c r="A41" t="s">
        <v>94</v>
      </c>
      <c r="B41" t="s">
        <v>95</v>
      </c>
      <c r="D41" t="s">
        <v>8</v>
      </c>
      <c r="E41" t="s">
        <v>8</v>
      </c>
    </row>
    <row r="42" spans="1:5" ht="30.75">
      <c r="A42" t="s">
        <v>96</v>
      </c>
      <c r="B42" s="1" t="s">
        <v>97</v>
      </c>
      <c r="D42" t="s">
        <v>23</v>
      </c>
      <c r="E42" t="s">
        <v>23</v>
      </c>
    </row>
    <row r="43" spans="1:5">
      <c r="A43" t="s">
        <v>98</v>
      </c>
      <c r="B43" s="1" t="s">
        <v>99</v>
      </c>
      <c r="D43" t="s">
        <v>8</v>
      </c>
      <c r="E43" t="s">
        <v>8</v>
      </c>
    </row>
    <row r="44" spans="1:5">
      <c r="A44" t="s">
        <v>100</v>
      </c>
      <c r="B44" s="1" t="s">
        <v>101</v>
      </c>
      <c r="C44" t="s">
        <v>102</v>
      </c>
      <c r="D44" t="s">
        <v>23</v>
      </c>
      <c r="E44" t="s">
        <v>23</v>
      </c>
    </row>
    <row r="45" spans="1:5">
      <c r="A45" t="s">
        <v>103</v>
      </c>
      <c r="B45" t="s">
        <v>104</v>
      </c>
      <c r="D45" t="s">
        <v>23</v>
      </c>
      <c r="E45" t="s">
        <v>23</v>
      </c>
    </row>
    <row r="46" spans="1:5">
      <c r="A46" t="s">
        <v>105</v>
      </c>
      <c r="B46" s="1"/>
      <c r="D46" t="s">
        <v>8</v>
      </c>
      <c r="E46" t="s">
        <v>8</v>
      </c>
    </row>
    <row r="47" spans="1:5">
      <c r="A47" t="s">
        <v>106</v>
      </c>
      <c r="D47" t="s">
        <v>23</v>
      </c>
      <c r="E47" t="s">
        <v>23</v>
      </c>
    </row>
    <row r="50" spans="4:8">
      <c r="D50" t="s">
        <v>107</v>
      </c>
    </row>
    <row r="51" spans="4:8">
      <c r="E51" t="s">
        <v>108</v>
      </c>
      <c r="F51">
        <f>COUNTIF(E:E, "dev")</f>
        <v>16</v>
      </c>
    </row>
    <row r="52" spans="4:8">
      <c r="E52" t="s">
        <v>109</v>
      </c>
      <c r="F52">
        <f>COUNTIF(E:E, "BA")</f>
        <v>16</v>
      </c>
    </row>
    <row r="53" spans="4:8">
      <c r="E53" t="s">
        <v>110</v>
      </c>
      <c r="F53">
        <f>COUNTIF(E:E, "QA")</f>
        <v>10</v>
      </c>
    </row>
    <row r="54" spans="4:8">
      <c r="E54" t="s">
        <v>111</v>
      </c>
      <c r="F54">
        <f>COUNTIF(E:E, "not-present")</f>
        <v>4</v>
      </c>
    </row>
    <row r="55" spans="4:8">
      <c r="G55" t="s">
        <v>112</v>
      </c>
      <c r="H55">
        <f>SUM(F51:F54)</f>
        <v>46</v>
      </c>
    </row>
    <row r="56" spans="4:8">
      <c r="G56" t="s">
        <v>113</v>
      </c>
      <c r="H56">
        <f>SUM(F52+F53)</f>
        <v>26</v>
      </c>
    </row>
    <row r="57" spans="4:8">
      <c r="G57" t="s">
        <v>114</v>
      </c>
      <c r="H57">
        <f>SUM(F51:F53)</f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38EB-EA5E-47A5-9B50-1EB00835043C}">
  <dimension ref="A1:AH21"/>
  <sheetViews>
    <sheetView tabSelected="1" topLeftCell="A14" workbookViewId="0">
      <selection activeCell="A21" sqref="A21"/>
    </sheetView>
  </sheetViews>
  <sheetFormatPr defaultRowHeight="15"/>
  <cols>
    <col min="1" max="1" width="17.140625" bestFit="1" customWidth="1"/>
    <col min="2" max="2" width="33" bestFit="1" customWidth="1"/>
    <col min="3" max="3" width="9.5703125" bestFit="1" customWidth="1"/>
    <col min="4" max="4" width="29.7109375" bestFit="1" customWidth="1"/>
    <col min="6" max="6" width="17.140625" bestFit="1" customWidth="1"/>
    <col min="7" max="7" width="27.42578125" bestFit="1" customWidth="1"/>
    <col min="8" max="8" width="23.5703125" bestFit="1" customWidth="1"/>
    <col min="23" max="23" width="20.7109375" bestFit="1" customWidth="1"/>
    <col min="31" max="31" width="16.85546875" bestFit="1" customWidth="1"/>
  </cols>
  <sheetData>
    <row r="1" spans="1:34" ht="21.75">
      <c r="A1" s="2" t="s">
        <v>115</v>
      </c>
      <c r="B1" s="2" t="s">
        <v>0</v>
      </c>
      <c r="C1" s="2" t="s">
        <v>116</v>
      </c>
      <c r="D1" s="2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2" t="s">
        <v>128</v>
      </c>
      <c r="P1" s="3" t="s">
        <v>129</v>
      </c>
      <c r="Q1" s="3" t="s">
        <v>130</v>
      </c>
      <c r="R1" s="3" t="s">
        <v>131</v>
      </c>
      <c r="S1" s="4" t="s">
        <v>132</v>
      </c>
      <c r="T1" s="3" t="s">
        <v>133</v>
      </c>
      <c r="U1" s="3" t="s">
        <v>134</v>
      </c>
      <c r="V1" s="2" t="s">
        <v>135</v>
      </c>
      <c r="W1" s="2" t="s">
        <v>136</v>
      </c>
      <c r="X1" s="2" t="s">
        <v>137</v>
      </c>
      <c r="Y1" s="2" t="s">
        <v>138</v>
      </c>
      <c r="Z1" s="2" t="s">
        <v>139</v>
      </c>
      <c r="AA1" s="2" t="s">
        <v>140</v>
      </c>
      <c r="AB1" s="2" t="s">
        <v>141</v>
      </c>
      <c r="AC1" s="2" t="s">
        <v>142</v>
      </c>
      <c r="AD1" s="2" t="s">
        <v>143</v>
      </c>
      <c r="AE1" s="2" t="s">
        <v>144</v>
      </c>
      <c r="AF1" s="2" t="s">
        <v>145</v>
      </c>
      <c r="AG1" s="2" t="s">
        <v>146</v>
      </c>
      <c r="AH1" s="2" t="s">
        <v>147</v>
      </c>
    </row>
    <row r="2" spans="1:34" ht="42.75" customHeight="1">
      <c r="A2" s="23">
        <v>10904003369</v>
      </c>
      <c r="B2" s="23" t="s">
        <v>28</v>
      </c>
      <c r="C2" s="23" t="s">
        <v>148</v>
      </c>
      <c r="D2" s="23" t="s">
        <v>149</v>
      </c>
      <c r="E2" s="23">
        <v>22</v>
      </c>
      <c r="F2" s="23">
        <v>17618472</v>
      </c>
      <c r="G2" s="31" t="s">
        <v>150</v>
      </c>
      <c r="H2" s="23" t="s">
        <v>151</v>
      </c>
      <c r="I2" s="23" t="s">
        <v>152</v>
      </c>
      <c r="J2" s="23" t="s">
        <v>153</v>
      </c>
      <c r="K2" s="23" t="s">
        <v>154</v>
      </c>
      <c r="L2" s="23" t="s">
        <v>155</v>
      </c>
      <c r="M2" s="23" t="s">
        <v>156</v>
      </c>
      <c r="N2" s="23" t="s">
        <v>157</v>
      </c>
      <c r="O2" s="24"/>
      <c r="P2" s="31" t="s">
        <v>158</v>
      </c>
      <c r="Q2" s="31" t="s">
        <v>159</v>
      </c>
      <c r="R2" s="31" t="s">
        <v>160</v>
      </c>
      <c r="S2" s="26"/>
      <c r="T2" s="23" t="b">
        <v>0</v>
      </c>
      <c r="U2" s="23" t="s">
        <v>161</v>
      </c>
      <c r="V2" s="27" t="s">
        <v>162</v>
      </c>
      <c r="W2" s="24"/>
      <c r="X2" s="27" t="s">
        <v>163</v>
      </c>
      <c r="Y2" s="27" t="s">
        <v>163</v>
      </c>
      <c r="Z2" s="27" t="s">
        <v>164</v>
      </c>
      <c r="AA2" s="28">
        <v>97517294675</v>
      </c>
      <c r="AB2" s="27" t="s">
        <v>165</v>
      </c>
      <c r="AC2" s="27" t="s">
        <v>166</v>
      </c>
      <c r="AD2" s="27" t="s">
        <v>167</v>
      </c>
      <c r="AE2" s="28">
        <v>110144172475</v>
      </c>
      <c r="AF2" s="24"/>
      <c r="AG2" s="27" t="s">
        <v>168</v>
      </c>
      <c r="AH2" s="27" t="s">
        <v>169</v>
      </c>
    </row>
    <row r="3" spans="1:34" ht="40.5" customHeight="1">
      <c r="A3" s="23">
        <v>11305000748</v>
      </c>
      <c r="B3" s="23" t="s">
        <v>5</v>
      </c>
      <c r="C3" s="23" t="s">
        <v>148</v>
      </c>
      <c r="D3" s="23" t="s">
        <v>170</v>
      </c>
      <c r="E3" s="23">
        <v>26</v>
      </c>
      <c r="F3" s="23">
        <v>77830288</v>
      </c>
      <c r="G3" s="31" t="s">
        <v>171</v>
      </c>
      <c r="H3" s="23" t="s">
        <v>172</v>
      </c>
      <c r="I3" s="23" t="s">
        <v>173</v>
      </c>
      <c r="J3" s="23" t="s">
        <v>153</v>
      </c>
      <c r="K3" s="23" t="s">
        <v>154</v>
      </c>
      <c r="L3" s="23" t="s">
        <v>155</v>
      </c>
      <c r="M3" s="23" t="s">
        <v>174</v>
      </c>
      <c r="N3" s="23" t="s">
        <v>175</v>
      </c>
      <c r="O3" s="24"/>
      <c r="P3" s="31" t="s">
        <v>176</v>
      </c>
      <c r="Q3" s="35" t="s">
        <v>177</v>
      </c>
      <c r="R3" s="35" t="s">
        <v>178</v>
      </c>
      <c r="S3" s="26"/>
      <c r="T3" s="23" t="b">
        <v>1</v>
      </c>
      <c r="U3" s="23" t="s">
        <v>161</v>
      </c>
      <c r="V3" s="27" t="s">
        <v>162</v>
      </c>
      <c r="W3" s="24"/>
      <c r="X3" s="27" t="s">
        <v>163</v>
      </c>
      <c r="Y3" s="27" t="s">
        <v>163</v>
      </c>
      <c r="Z3" s="27" t="s">
        <v>179</v>
      </c>
      <c r="AA3" s="28">
        <v>97577319313</v>
      </c>
      <c r="AB3" s="27" t="s">
        <v>180</v>
      </c>
      <c r="AC3" s="27" t="s">
        <v>181</v>
      </c>
      <c r="AD3" s="27" t="s">
        <v>167</v>
      </c>
      <c r="AE3" s="28">
        <v>110182008624</v>
      </c>
      <c r="AF3" s="24"/>
      <c r="AG3" s="27" t="s">
        <v>168</v>
      </c>
      <c r="AH3" s="27" t="s">
        <v>182</v>
      </c>
    </row>
    <row r="4" spans="1:34" ht="62.25" customHeight="1">
      <c r="A4" s="15">
        <v>11702001098</v>
      </c>
      <c r="B4" s="15" t="s">
        <v>9</v>
      </c>
      <c r="C4" s="15" t="s">
        <v>183</v>
      </c>
      <c r="D4" s="15" t="s">
        <v>184</v>
      </c>
      <c r="E4" s="15">
        <v>27</v>
      </c>
      <c r="F4" s="15">
        <v>17988421</v>
      </c>
      <c r="G4" s="15" t="s">
        <v>185</v>
      </c>
      <c r="H4" s="15" t="s">
        <v>186</v>
      </c>
      <c r="I4" s="15" t="s">
        <v>187</v>
      </c>
      <c r="J4" s="15" t="s">
        <v>188</v>
      </c>
      <c r="K4" s="15" t="s">
        <v>154</v>
      </c>
      <c r="L4" s="15" t="s">
        <v>189</v>
      </c>
      <c r="M4" s="15" t="s">
        <v>190</v>
      </c>
      <c r="N4" s="15" t="s">
        <v>191</v>
      </c>
      <c r="O4" s="16"/>
      <c r="P4" s="44" t="s">
        <v>192</v>
      </c>
      <c r="Q4" s="44" t="s">
        <v>193</v>
      </c>
      <c r="R4" s="44" t="s">
        <v>194</v>
      </c>
      <c r="S4" s="18"/>
      <c r="T4" s="15" t="b">
        <v>1</v>
      </c>
      <c r="U4" s="15" t="s">
        <v>161</v>
      </c>
      <c r="V4" s="19" t="s">
        <v>162</v>
      </c>
      <c r="W4" s="16"/>
      <c r="X4" s="19" t="s">
        <v>163</v>
      </c>
      <c r="Y4" s="19" t="s">
        <v>163</v>
      </c>
      <c r="Z4" s="19" t="s">
        <v>195</v>
      </c>
      <c r="AA4" s="20">
        <v>17690538</v>
      </c>
      <c r="AB4" s="19" t="s">
        <v>196</v>
      </c>
      <c r="AC4" s="19" t="s">
        <v>197</v>
      </c>
      <c r="AD4" s="19" t="s">
        <v>167</v>
      </c>
      <c r="AE4" s="20">
        <v>110167514116</v>
      </c>
      <c r="AF4" s="19" t="s">
        <v>198</v>
      </c>
      <c r="AG4" s="19" t="s">
        <v>168</v>
      </c>
      <c r="AH4" s="19" t="s">
        <v>199</v>
      </c>
    </row>
    <row r="5" spans="1:34" ht="61.5" customHeight="1">
      <c r="A5" s="23">
        <v>11106003860</v>
      </c>
      <c r="B5" s="23" t="s">
        <v>11</v>
      </c>
      <c r="C5" s="23" t="s">
        <v>183</v>
      </c>
      <c r="D5" s="23" t="s">
        <v>200</v>
      </c>
      <c r="E5" s="23">
        <v>24</v>
      </c>
      <c r="F5" s="23">
        <v>77436409</v>
      </c>
      <c r="G5" s="23" t="s">
        <v>201</v>
      </c>
      <c r="H5" s="23" t="s">
        <v>202</v>
      </c>
      <c r="I5" s="23" t="s">
        <v>203</v>
      </c>
      <c r="J5" s="23" t="s">
        <v>153</v>
      </c>
      <c r="K5" s="23" t="s">
        <v>204</v>
      </c>
      <c r="L5" s="23" t="s">
        <v>155</v>
      </c>
      <c r="M5" s="23" t="s">
        <v>205</v>
      </c>
      <c r="N5" s="23" t="s">
        <v>206</v>
      </c>
      <c r="O5" s="24"/>
      <c r="P5" s="35" t="s">
        <v>207</v>
      </c>
      <c r="Q5" s="35" t="s">
        <v>208</v>
      </c>
      <c r="R5" s="35" t="s">
        <v>209</v>
      </c>
      <c r="S5" s="34" t="s">
        <v>210</v>
      </c>
      <c r="T5" s="23" t="b">
        <v>0</v>
      </c>
      <c r="U5" s="23" t="s">
        <v>161</v>
      </c>
      <c r="V5" s="27" t="s">
        <v>162</v>
      </c>
      <c r="W5" s="24"/>
      <c r="X5" s="27" t="s">
        <v>163</v>
      </c>
      <c r="Y5" s="27" t="s">
        <v>163</v>
      </c>
      <c r="Z5" s="27" t="s">
        <v>211</v>
      </c>
      <c r="AA5" s="28">
        <v>97517691139</v>
      </c>
      <c r="AB5" s="27" t="s">
        <v>180</v>
      </c>
      <c r="AC5" s="27" t="s">
        <v>166</v>
      </c>
      <c r="AD5" s="27" t="s">
        <v>167</v>
      </c>
      <c r="AE5" s="28">
        <v>110164704237</v>
      </c>
      <c r="AF5" s="27" t="s">
        <v>212</v>
      </c>
      <c r="AG5" s="27" t="s">
        <v>168</v>
      </c>
      <c r="AH5" s="27" t="s">
        <v>182</v>
      </c>
    </row>
    <row r="6" spans="1:34" ht="69" customHeight="1">
      <c r="A6" s="15">
        <v>10303000493</v>
      </c>
      <c r="B6" s="15" t="s">
        <v>35</v>
      </c>
      <c r="C6" s="15" t="s">
        <v>148</v>
      </c>
      <c r="D6" s="15" t="s">
        <v>213</v>
      </c>
      <c r="E6" s="15">
        <v>29</v>
      </c>
      <c r="F6" s="15">
        <v>77200193</v>
      </c>
      <c r="G6" s="15" t="s">
        <v>214</v>
      </c>
      <c r="H6" s="15" t="s">
        <v>215</v>
      </c>
      <c r="I6" s="15" t="s">
        <v>216</v>
      </c>
      <c r="J6" s="15" t="s">
        <v>153</v>
      </c>
      <c r="K6" s="15" t="s">
        <v>217</v>
      </c>
      <c r="L6" s="15" t="s">
        <v>155</v>
      </c>
      <c r="M6" s="15" t="s">
        <v>218</v>
      </c>
      <c r="N6" s="15" t="s">
        <v>219</v>
      </c>
      <c r="O6" s="16"/>
      <c r="P6" s="44" t="s">
        <v>220</v>
      </c>
      <c r="Q6" s="44" t="s">
        <v>221</v>
      </c>
      <c r="R6" s="44" t="s">
        <v>222</v>
      </c>
      <c r="S6" s="18"/>
      <c r="T6" s="15" t="b">
        <v>0</v>
      </c>
      <c r="U6" s="15" t="s">
        <v>161</v>
      </c>
      <c r="V6" s="19" t="s">
        <v>223</v>
      </c>
      <c r="W6" s="16"/>
      <c r="X6" s="19" t="s">
        <v>163</v>
      </c>
      <c r="Y6" s="19" t="s">
        <v>163</v>
      </c>
      <c r="Z6" s="20">
        <v>17569791</v>
      </c>
      <c r="AA6" s="20">
        <v>17714336</v>
      </c>
      <c r="AB6" s="19" t="s">
        <v>224</v>
      </c>
      <c r="AC6" s="19" t="s">
        <v>181</v>
      </c>
      <c r="AD6" s="19" t="s">
        <v>167</v>
      </c>
      <c r="AE6" s="20">
        <v>110148256670</v>
      </c>
      <c r="AF6" s="16"/>
      <c r="AG6" s="19" t="s">
        <v>168</v>
      </c>
      <c r="AH6" s="19" t="s">
        <v>169</v>
      </c>
    </row>
    <row r="7" spans="1:34" ht="53.25" customHeight="1">
      <c r="A7" s="15">
        <v>10204002349</v>
      </c>
      <c r="B7" s="15" t="s">
        <v>225</v>
      </c>
      <c r="C7" s="15" t="s">
        <v>148</v>
      </c>
      <c r="D7" s="15" t="s">
        <v>226</v>
      </c>
      <c r="E7" s="15">
        <v>24</v>
      </c>
      <c r="F7" s="15">
        <v>97577874410</v>
      </c>
      <c r="G7" s="15" t="s">
        <v>227</v>
      </c>
      <c r="H7" s="15" t="s">
        <v>228</v>
      </c>
      <c r="I7" s="15" t="s">
        <v>229</v>
      </c>
      <c r="J7" s="15" t="s">
        <v>153</v>
      </c>
      <c r="K7" s="15" t="s">
        <v>154</v>
      </c>
      <c r="L7" s="15" t="s">
        <v>155</v>
      </c>
      <c r="M7" s="15" t="s">
        <v>230</v>
      </c>
      <c r="N7" s="15" t="s">
        <v>231</v>
      </c>
      <c r="O7" s="16"/>
      <c r="P7" s="44" t="s">
        <v>232</v>
      </c>
      <c r="Q7" s="44" t="s">
        <v>233</v>
      </c>
      <c r="R7" s="44" t="s">
        <v>234</v>
      </c>
      <c r="S7" s="18"/>
      <c r="T7" s="15" t="b">
        <v>0</v>
      </c>
      <c r="U7" s="15" t="s">
        <v>161</v>
      </c>
      <c r="V7" s="19" t="s">
        <v>162</v>
      </c>
      <c r="W7" s="16"/>
      <c r="X7" s="19" t="s">
        <v>163</v>
      </c>
      <c r="Y7" s="19" t="s">
        <v>163</v>
      </c>
      <c r="Z7" s="19" t="s">
        <v>235</v>
      </c>
      <c r="AA7" s="20">
        <v>97517463356</v>
      </c>
      <c r="AB7" s="19" t="s">
        <v>180</v>
      </c>
      <c r="AC7" s="19" t="s">
        <v>197</v>
      </c>
      <c r="AD7" s="19" t="s">
        <v>167</v>
      </c>
      <c r="AE7" s="20">
        <v>110173271899</v>
      </c>
      <c r="AF7" s="16"/>
      <c r="AG7" s="19" t="s">
        <v>168</v>
      </c>
      <c r="AH7" s="19" t="s">
        <v>199</v>
      </c>
    </row>
    <row r="8" spans="1:34" ht="89.25" customHeight="1">
      <c r="A8" s="15">
        <v>11514003452</v>
      </c>
      <c r="B8" s="15" t="s">
        <v>225</v>
      </c>
      <c r="C8" s="15" t="s">
        <v>148</v>
      </c>
      <c r="D8" s="15" t="s">
        <v>236</v>
      </c>
      <c r="E8" s="15">
        <v>28</v>
      </c>
      <c r="F8" s="15">
        <v>97517780520</v>
      </c>
      <c r="G8" s="15" t="s">
        <v>237</v>
      </c>
      <c r="H8" s="15" t="s">
        <v>238</v>
      </c>
      <c r="I8" s="15" t="s">
        <v>152</v>
      </c>
      <c r="J8" s="15" t="s">
        <v>153</v>
      </c>
      <c r="K8" s="15" t="s">
        <v>239</v>
      </c>
      <c r="L8" s="15" t="s">
        <v>155</v>
      </c>
      <c r="M8" s="15" t="s">
        <v>240</v>
      </c>
      <c r="N8" s="15" t="s">
        <v>241</v>
      </c>
      <c r="O8" s="16"/>
      <c r="P8" s="44" t="s">
        <v>242</v>
      </c>
      <c r="Q8" s="44" t="s">
        <v>243</v>
      </c>
      <c r="R8" s="21" t="s">
        <v>244</v>
      </c>
      <c r="S8" s="42" t="s">
        <v>245</v>
      </c>
      <c r="T8" s="15" t="b">
        <v>1</v>
      </c>
      <c r="U8" s="15" t="s">
        <v>161</v>
      </c>
      <c r="V8" s="19" t="s">
        <v>162</v>
      </c>
      <c r="W8" s="16"/>
      <c r="X8" s="19" t="s">
        <v>163</v>
      </c>
      <c r="Y8" s="19" t="s">
        <v>163</v>
      </c>
      <c r="Z8" s="19" t="s">
        <v>246</v>
      </c>
      <c r="AA8" s="20">
        <v>17749455</v>
      </c>
      <c r="AB8" s="19" t="s">
        <v>165</v>
      </c>
      <c r="AC8" s="19" t="s">
        <v>197</v>
      </c>
      <c r="AD8" s="19" t="s">
        <v>167</v>
      </c>
      <c r="AE8" s="20">
        <v>110116167244</v>
      </c>
      <c r="AF8" s="19" t="s">
        <v>247</v>
      </c>
      <c r="AG8" s="19" t="s">
        <v>168</v>
      </c>
      <c r="AH8" s="19" t="s">
        <v>248</v>
      </c>
    </row>
    <row r="9" spans="1:34" ht="70.5" customHeight="1">
      <c r="A9" s="15">
        <v>11607002683</v>
      </c>
      <c r="B9" s="15" t="s">
        <v>58</v>
      </c>
      <c r="C9" s="15" t="s">
        <v>183</v>
      </c>
      <c r="D9" s="15" t="s">
        <v>249</v>
      </c>
      <c r="E9" s="15">
        <v>23</v>
      </c>
      <c r="F9" s="15">
        <v>97517344344</v>
      </c>
      <c r="G9" s="15" t="s">
        <v>250</v>
      </c>
      <c r="H9" s="15" t="s">
        <v>251</v>
      </c>
      <c r="I9" s="15" t="s">
        <v>152</v>
      </c>
      <c r="J9" s="15" t="s">
        <v>153</v>
      </c>
      <c r="K9" s="15" t="s">
        <v>154</v>
      </c>
      <c r="L9" s="15" t="s">
        <v>155</v>
      </c>
      <c r="M9" s="15" t="s">
        <v>252</v>
      </c>
      <c r="N9" s="15" t="s">
        <v>241</v>
      </c>
      <c r="O9" s="16"/>
      <c r="P9" s="44" t="s">
        <v>253</v>
      </c>
      <c r="Q9" s="44" t="s">
        <v>254</v>
      </c>
      <c r="R9" s="44" t="s">
        <v>255</v>
      </c>
      <c r="S9" s="18"/>
      <c r="T9" s="15" t="b">
        <v>0</v>
      </c>
      <c r="U9" s="15" t="s">
        <v>161</v>
      </c>
      <c r="V9" s="19" t="s">
        <v>162</v>
      </c>
      <c r="W9" s="16"/>
      <c r="X9" s="19" t="s">
        <v>163</v>
      </c>
      <c r="Y9" s="19" t="s">
        <v>163</v>
      </c>
      <c r="Z9" s="20">
        <v>17673065</v>
      </c>
      <c r="AA9" s="20">
        <v>97517673065</v>
      </c>
      <c r="AB9" s="19" t="s">
        <v>180</v>
      </c>
      <c r="AC9" s="19" t="s">
        <v>197</v>
      </c>
      <c r="AD9" s="19" t="s">
        <v>167</v>
      </c>
      <c r="AE9" s="20">
        <v>110179596021</v>
      </c>
      <c r="AF9" s="19" t="s">
        <v>256</v>
      </c>
      <c r="AG9" s="19" t="s">
        <v>168</v>
      </c>
      <c r="AH9" s="19" t="s">
        <v>199</v>
      </c>
    </row>
    <row r="10" spans="1:34" ht="60.75" customHeight="1">
      <c r="A10" s="23">
        <v>11211001345</v>
      </c>
      <c r="B10" s="23" t="s">
        <v>257</v>
      </c>
      <c r="C10" s="23" t="s">
        <v>183</v>
      </c>
      <c r="D10" s="23" t="s">
        <v>258</v>
      </c>
      <c r="E10" s="23">
        <v>24</v>
      </c>
      <c r="F10" s="23">
        <v>17394864</v>
      </c>
      <c r="G10" s="23" t="s">
        <v>259</v>
      </c>
      <c r="H10" s="23" t="s">
        <v>202</v>
      </c>
      <c r="I10" s="23" t="s">
        <v>260</v>
      </c>
      <c r="J10" s="23" t="s">
        <v>153</v>
      </c>
      <c r="K10" s="23" t="s">
        <v>154</v>
      </c>
      <c r="L10" s="23" t="s">
        <v>155</v>
      </c>
      <c r="M10" s="23" t="s">
        <v>261</v>
      </c>
      <c r="N10" s="23" t="s">
        <v>262</v>
      </c>
      <c r="O10" s="24"/>
      <c r="P10" s="35" t="s">
        <v>263</v>
      </c>
      <c r="Q10" s="35" t="s">
        <v>264</v>
      </c>
      <c r="R10" s="35" t="s">
        <v>265</v>
      </c>
      <c r="S10" s="26"/>
      <c r="T10" s="23" t="b">
        <v>0</v>
      </c>
      <c r="U10" s="23" t="s">
        <v>161</v>
      </c>
      <c r="V10" s="27" t="s">
        <v>162</v>
      </c>
      <c r="W10" s="24"/>
      <c r="X10" s="27" t="s">
        <v>163</v>
      </c>
      <c r="Y10" s="27" t="s">
        <v>163</v>
      </c>
      <c r="Z10" s="27" t="s">
        <v>266</v>
      </c>
      <c r="AA10" s="28">
        <v>77793666</v>
      </c>
      <c r="AB10" s="27" t="s">
        <v>165</v>
      </c>
      <c r="AC10" s="27" t="s">
        <v>166</v>
      </c>
      <c r="AD10" s="24"/>
      <c r="AE10" s="24"/>
      <c r="AF10" s="24"/>
      <c r="AG10" s="27" t="s">
        <v>168</v>
      </c>
      <c r="AH10" s="27" t="s">
        <v>169</v>
      </c>
    </row>
    <row r="11" spans="1:34" ht="69" customHeight="1">
      <c r="A11" s="23">
        <v>10303002476</v>
      </c>
      <c r="B11" s="23" t="s">
        <v>84</v>
      </c>
      <c r="C11" s="23" t="s">
        <v>183</v>
      </c>
      <c r="D11" s="23" t="s">
        <v>267</v>
      </c>
      <c r="E11" s="23">
        <v>25</v>
      </c>
      <c r="F11" s="23">
        <v>97577331874</v>
      </c>
      <c r="G11" s="23" t="s">
        <v>268</v>
      </c>
      <c r="H11" s="23" t="s">
        <v>215</v>
      </c>
      <c r="I11" s="23" t="s">
        <v>269</v>
      </c>
      <c r="J11" s="23" t="s">
        <v>188</v>
      </c>
      <c r="K11" s="23" t="s">
        <v>154</v>
      </c>
      <c r="L11" s="23" t="s">
        <v>155</v>
      </c>
      <c r="M11" s="23" t="s">
        <v>270</v>
      </c>
      <c r="N11" s="23" t="s">
        <v>271</v>
      </c>
      <c r="O11" s="24"/>
      <c r="P11" s="35" t="s">
        <v>272</v>
      </c>
      <c r="Q11" s="35" t="s">
        <v>273</v>
      </c>
      <c r="R11" s="35" t="s">
        <v>274</v>
      </c>
      <c r="S11" s="26"/>
      <c r="T11" s="23" t="b">
        <v>1</v>
      </c>
      <c r="U11" s="23" t="s">
        <v>161</v>
      </c>
      <c r="V11" s="27" t="s">
        <v>162</v>
      </c>
      <c r="W11" s="24"/>
      <c r="X11" s="27" t="s">
        <v>163</v>
      </c>
      <c r="Y11" s="27" t="s">
        <v>163</v>
      </c>
      <c r="Z11" s="28">
        <v>97517616438</v>
      </c>
      <c r="AA11" s="28">
        <v>97517616438</v>
      </c>
      <c r="AB11" s="27" t="s">
        <v>224</v>
      </c>
      <c r="AC11" s="27" t="s">
        <v>166</v>
      </c>
      <c r="AD11" s="27" t="s">
        <v>167</v>
      </c>
      <c r="AE11" s="28">
        <v>110158644493</v>
      </c>
      <c r="AF11" s="27" t="s">
        <v>275</v>
      </c>
      <c r="AG11" s="27" t="s">
        <v>168</v>
      </c>
      <c r="AH11" s="27" t="s">
        <v>248</v>
      </c>
    </row>
    <row r="12" spans="1:34" ht="65.25" customHeight="1">
      <c r="A12" s="15">
        <v>10903003513</v>
      </c>
      <c r="B12" s="15" t="s">
        <v>276</v>
      </c>
      <c r="C12" s="15" t="s">
        <v>148</v>
      </c>
      <c r="D12" s="15" t="s">
        <v>277</v>
      </c>
      <c r="E12" s="15">
        <v>22</v>
      </c>
      <c r="F12" s="15">
        <v>77444730</v>
      </c>
      <c r="G12" s="15" t="s">
        <v>278</v>
      </c>
      <c r="H12" s="15" t="s">
        <v>151</v>
      </c>
      <c r="I12" s="15" t="s">
        <v>152</v>
      </c>
      <c r="J12" s="15" t="s">
        <v>153</v>
      </c>
      <c r="K12" s="15" t="s">
        <v>154</v>
      </c>
      <c r="L12" s="15" t="s">
        <v>155</v>
      </c>
      <c r="M12" s="15" t="s">
        <v>279</v>
      </c>
      <c r="N12" s="15" t="s">
        <v>280</v>
      </c>
      <c r="O12" s="16"/>
      <c r="P12" s="44" t="s">
        <v>281</v>
      </c>
      <c r="Q12" s="44" t="s">
        <v>282</v>
      </c>
      <c r="R12" s="44" t="s">
        <v>283</v>
      </c>
      <c r="S12" s="18"/>
      <c r="T12" s="15" t="b">
        <v>0</v>
      </c>
      <c r="U12" s="15" t="s">
        <v>161</v>
      </c>
      <c r="V12" s="19" t="s">
        <v>162</v>
      </c>
      <c r="W12" s="16"/>
      <c r="X12" s="19" t="s">
        <v>163</v>
      </c>
      <c r="Y12" s="19" t="s">
        <v>163</v>
      </c>
      <c r="Z12" s="19" t="s">
        <v>284</v>
      </c>
      <c r="AA12" s="20">
        <v>97517934203</v>
      </c>
      <c r="AB12" s="19" t="s">
        <v>285</v>
      </c>
      <c r="AC12" s="19" t="s">
        <v>181</v>
      </c>
      <c r="AD12" s="19" t="s">
        <v>167</v>
      </c>
      <c r="AE12" s="20">
        <v>110185557861</v>
      </c>
      <c r="AF12" s="16"/>
      <c r="AG12" s="19" t="s">
        <v>168</v>
      </c>
      <c r="AH12" s="19" t="s">
        <v>199</v>
      </c>
    </row>
    <row r="13" spans="1:34" ht="69.75" customHeight="1">
      <c r="A13" s="23">
        <v>11910002351</v>
      </c>
      <c r="B13" s="23" t="s">
        <v>88</v>
      </c>
      <c r="C13" s="23" t="s">
        <v>183</v>
      </c>
      <c r="D13" s="23" t="s">
        <v>286</v>
      </c>
      <c r="E13" s="23">
        <v>21</v>
      </c>
      <c r="F13" s="23">
        <v>17522908</v>
      </c>
      <c r="G13" s="23" t="s">
        <v>287</v>
      </c>
      <c r="H13" s="23" t="s">
        <v>288</v>
      </c>
      <c r="I13" s="23" t="s">
        <v>289</v>
      </c>
      <c r="J13" s="23" t="s">
        <v>153</v>
      </c>
      <c r="K13" s="23" t="s">
        <v>154</v>
      </c>
      <c r="L13" s="23" t="s">
        <v>155</v>
      </c>
      <c r="M13" s="23" t="s">
        <v>290</v>
      </c>
      <c r="N13" s="23" t="s">
        <v>231</v>
      </c>
      <c r="O13" s="24"/>
      <c r="P13" s="35" t="s">
        <v>291</v>
      </c>
      <c r="Q13" s="35" t="s">
        <v>292</v>
      </c>
      <c r="R13" s="35" t="s">
        <v>293</v>
      </c>
      <c r="S13" s="26"/>
      <c r="T13" s="23" t="b">
        <v>0</v>
      </c>
      <c r="U13" s="23" t="s">
        <v>161</v>
      </c>
      <c r="V13" s="27" t="s">
        <v>162</v>
      </c>
      <c r="W13" s="24"/>
      <c r="X13" s="27" t="s">
        <v>163</v>
      </c>
      <c r="Y13" s="27" t="s">
        <v>163</v>
      </c>
      <c r="Z13" s="27" t="s">
        <v>294</v>
      </c>
      <c r="AA13" s="28">
        <v>17522438</v>
      </c>
      <c r="AB13" s="27" t="s">
        <v>180</v>
      </c>
      <c r="AC13" s="27" t="s">
        <v>166</v>
      </c>
      <c r="AD13" s="27" t="s">
        <v>167</v>
      </c>
      <c r="AE13" s="28">
        <v>110196386889</v>
      </c>
      <c r="AF13" s="24"/>
      <c r="AG13" s="27" t="s">
        <v>168</v>
      </c>
      <c r="AH13" s="27" t="s">
        <v>248</v>
      </c>
    </row>
    <row r="14" spans="1:34" ht="69" customHeight="1">
      <c r="A14" s="23">
        <v>11703000545</v>
      </c>
      <c r="B14" s="23" t="s">
        <v>295</v>
      </c>
      <c r="C14" s="23" t="s">
        <v>183</v>
      </c>
      <c r="D14" s="23" t="s">
        <v>296</v>
      </c>
      <c r="E14" s="23">
        <v>26</v>
      </c>
      <c r="F14" s="23">
        <v>97517684920</v>
      </c>
      <c r="G14" s="23" t="s">
        <v>297</v>
      </c>
      <c r="H14" s="23" t="s">
        <v>186</v>
      </c>
      <c r="I14" s="23" t="s">
        <v>152</v>
      </c>
      <c r="J14" s="23" t="s">
        <v>153</v>
      </c>
      <c r="K14" s="23" t="s">
        <v>239</v>
      </c>
      <c r="L14" s="23" t="s">
        <v>155</v>
      </c>
      <c r="M14" s="23" t="s">
        <v>298</v>
      </c>
      <c r="N14" s="23" t="s">
        <v>280</v>
      </c>
      <c r="O14" s="24"/>
      <c r="P14" s="35" t="s">
        <v>299</v>
      </c>
      <c r="Q14" s="35" t="s">
        <v>300</v>
      </c>
      <c r="R14" s="35" t="s">
        <v>301</v>
      </c>
      <c r="S14" s="34" t="s">
        <v>302</v>
      </c>
      <c r="T14" s="23" t="b">
        <v>0</v>
      </c>
      <c r="U14" s="23" t="s">
        <v>161</v>
      </c>
      <c r="V14" s="27" t="s">
        <v>162</v>
      </c>
      <c r="W14" s="24"/>
      <c r="X14" s="27" t="s">
        <v>163</v>
      </c>
      <c r="Y14" s="27" t="s">
        <v>163</v>
      </c>
      <c r="Z14" s="27" t="s">
        <v>303</v>
      </c>
      <c r="AA14" s="28">
        <v>97517895849</v>
      </c>
      <c r="AB14" s="27" t="s">
        <v>165</v>
      </c>
      <c r="AC14" s="27" t="s">
        <v>197</v>
      </c>
      <c r="AD14" s="27" t="s">
        <v>167</v>
      </c>
      <c r="AE14" s="28">
        <v>110103626402</v>
      </c>
      <c r="AF14" s="27" t="s">
        <v>304</v>
      </c>
      <c r="AG14" s="27" t="s">
        <v>168</v>
      </c>
      <c r="AH14" s="27" t="s">
        <v>199</v>
      </c>
    </row>
    <row r="15" spans="1:34" ht="92.25" customHeight="1">
      <c r="A15" s="23">
        <v>11509001632</v>
      </c>
      <c r="B15" s="23" t="s">
        <v>305</v>
      </c>
      <c r="C15" s="23" t="s">
        <v>183</v>
      </c>
      <c r="D15" s="23" t="s">
        <v>306</v>
      </c>
      <c r="E15" s="23">
        <v>27</v>
      </c>
      <c r="F15" s="23">
        <v>97577371084</v>
      </c>
      <c r="G15" s="23" t="s">
        <v>307</v>
      </c>
      <c r="H15" s="23" t="s">
        <v>238</v>
      </c>
      <c r="I15" s="23" t="s">
        <v>308</v>
      </c>
      <c r="J15" s="23" t="s">
        <v>188</v>
      </c>
      <c r="K15" s="23" t="s">
        <v>309</v>
      </c>
      <c r="L15" s="23" t="s">
        <v>155</v>
      </c>
      <c r="M15" s="23" t="s">
        <v>310</v>
      </c>
      <c r="N15" s="23" t="s">
        <v>311</v>
      </c>
      <c r="O15" s="24"/>
      <c r="P15" s="35" t="s">
        <v>312</v>
      </c>
      <c r="Q15" s="35" t="s">
        <v>313</v>
      </c>
      <c r="R15" s="35" t="s">
        <v>314</v>
      </c>
      <c r="S15" s="26"/>
      <c r="T15" s="23" t="b">
        <v>0</v>
      </c>
      <c r="U15" s="23" t="s">
        <v>161</v>
      </c>
      <c r="V15" s="27" t="s">
        <v>162</v>
      </c>
      <c r="W15" s="24"/>
      <c r="X15" s="27" t="s">
        <v>163</v>
      </c>
      <c r="Y15" s="27" t="s">
        <v>163</v>
      </c>
      <c r="Z15" s="27" t="s">
        <v>315</v>
      </c>
      <c r="AA15" s="28">
        <v>97517499073</v>
      </c>
      <c r="AB15" s="27" t="s">
        <v>196</v>
      </c>
      <c r="AC15" s="27" t="s">
        <v>181</v>
      </c>
      <c r="AD15" s="27" t="s">
        <v>167</v>
      </c>
      <c r="AE15" s="28">
        <v>110130095139</v>
      </c>
      <c r="AF15" s="27" t="s">
        <v>316</v>
      </c>
      <c r="AG15" s="27" t="s">
        <v>168</v>
      </c>
      <c r="AH15" s="27" t="s">
        <v>182</v>
      </c>
    </row>
    <row r="16" spans="1:34" ht="56.25" customHeight="1">
      <c r="A16" s="23">
        <v>11607003091</v>
      </c>
      <c r="B16" s="23" t="s">
        <v>94</v>
      </c>
      <c r="C16" s="23" t="s">
        <v>148</v>
      </c>
      <c r="D16" s="23" t="s">
        <v>317</v>
      </c>
      <c r="E16" s="23">
        <v>23</v>
      </c>
      <c r="F16" s="23">
        <v>97517719982</v>
      </c>
      <c r="G16" s="23" t="s">
        <v>318</v>
      </c>
      <c r="H16" s="23" t="s">
        <v>251</v>
      </c>
      <c r="I16" s="23" t="s">
        <v>319</v>
      </c>
      <c r="J16" s="23" t="s">
        <v>153</v>
      </c>
      <c r="K16" s="23" t="s">
        <v>154</v>
      </c>
      <c r="L16" s="23" t="s">
        <v>155</v>
      </c>
      <c r="M16" s="23" t="s">
        <v>320</v>
      </c>
      <c r="N16" s="23" t="s">
        <v>206</v>
      </c>
      <c r="O16" s="24"/>
      <c r="P16" s="35" t="s">
        <v>321</v>
      </c>
      <c r="Q16" s="35" t="s">
        <v>322</v>
      </c>
      <c r="R16" s="35" t="s">
        <v>323</v>
      </c>
      <c r="S16" s="26"/>
      <c r="T16" s="23" t="b">
        <v>1</v>
      </c>
      <c r="U16" s="23" t="s">
        <v>161</v>
      </c>
      <c r="V16" s="27" t="s">
        <v>162</v>
      </c>
      <c r="W16" s="24"/>
      <c r="X16" s="27" t="s">
        <v>163</v>
      </c>
      <c r="Y16" s="27" t="s">
        <v>163</v>
      </c>
      <c r="Z16" s="27" t="s">
        <v>324</v>
      </c>
      <c r="AA16" s="28">
        <v>97517771137</v>
      </c>
      <c r="AB16" s="27" t="s">
        <v>285</v>
      </c>
      <c r="AC16" s="27" t="s">
        <v>325</v>
      </c>
      <c r="AD16" s="27" t="s">
        <v>167</v>
      </c>
      <c r="AE16" s="28">
        <v>110106063743</v>
      </c>
      <c r="AF16" s="27" t="s">
        <v>326</v>
      </c>
      <c r="AG16" s="27" t="s">
        <v>168</v>
      </c>
      <c r="AH16" s="27" t="s">
        <v>248</v>
      </c>
    </row>
    <row r="17" spans="1:34" ht="21.75">
      <c r="A17" s="15">
        <v>10701001670</v>
      </c>
      <c r="B17" s="15" t="s">
        <v>98</v>
      </c>
      <c r="C17" s="15" t="s">
        <v>183</v>
      </c>
      <c r="D17" s="15" t="s">
        <v>327</v>
      </c>
      <c r="E17" s="15">
        <v>24</v>
      </c>
      <c r="F17" s="15">
        <v>97517893824</v>
      </c>
      <c r="G17" s="15" t="s">
        <v>328</v>
      </c>
      <c r="H17" s="15" t="s">
        <v>329</v>
      </c>
      <c r="I17" s="15" t="s">
        <v>152</v>
      </c>
      <c r="J17" s="15" t="s">
        <v>153</v>
      </c>
      <c r="K17" s="15" t="s">
        <v>154</v>
      </c>
      <c r="L17" s="15" t="s">
        <v>189</v>
      </c>
      <c r="M17" s="15" t="s">
        <v>330</v>
      </c>
      <c r="N17" s="15" t="s">
        <v>191</v>
      </c>
      <c r="O17" s="16"/>
      <c r="P17" s="44" t="s">
        <v>331</v>
      </c>
      <c r="Q17" s="44" t="s">
        <v>332</v>
      </c>
      <c r="R17" s="44" t="s">
        <v>333</v>
      </c>
      <c r="S17" s="18"/>
      <c r="T17" s="15" t="b">
        <v>0</v>
      </c>
      <c r="U17" s="15" t="s">
        <v>161</v>
      </c>
      <c r="V17" s="19" t="s">
        <v>162</v>
      </c>
      <c r="W17" s="16"/>
      <c r="X17" s="19" t="s">
        <v>163</v>
      </c>
      <c r="Y17" s="19" t="s">
        <v>163</v>
      </c>
      <c r="Z17" s="19" t="s">
        <v>334</v>
      </c>
      <c r="AA17" s="20">
        <v>97517674339</v>
      </c>
      <c r="AB17" s="19" t="s">
        <v>335</v>
      </c>
      <c r="AC17" s="19" t="s">
        <v>181</v>
      </c>
      <c r="AD17" s="19" t="s">
        <v>167</v>
      </c>
      <c r="AE17" s="20">
        <v>110117286341</v>
      </c>
      <c r="AF17" s="16"/>
      <c r="AG17" s="19" t="s">
        <v>168</v>
      </c>
      <c r="AH17" s="19" t="s">
        <v>248</v>
      </c>
    </row>
    <row r="18" spans="1:34" ht="21.75">
      <c r="A18" s="23">
        <v>11102004858</v>
      </c>
      <c r="B18" s="23" t="s">
        <v>336</v>
      </c>
      <c r="C18" s="23" t="s">
        <v>148</v>
      </c>
      <c r="D18" s="23" t="s">
        <v>337</v>
      </c>
      <c r="E18" s="23">
        <v>24</v>
      </c>
      <c r="F18" s="23">
        <v>97517661394</v>
      </c>
      <c r="G18" s="23" t="s">
        <v>338</v>
      </c>
      <c r="H18" s="23" t="s">
        <v>339</v>
      </c>
      <c r="I18" s="23" t="s">
        <v>152</v>
      </c>
      <c r="J18" s="23" t="s">
        <v>188</v>
      </c>
      <c r="K18" s="23" t="s">
        <v>154</v>
      </c>
      <c r="L18" s="23" t="s">
        <v>155</v>
      </c>
      <c r="M18" s="23" t="s">
        <v>340</v>
      </c>
      <c r="N18" s="23" t="s">
        <v>341</v>
      </c>
      <c r="O18" s="24"/>
      <c r="P18" s="35" t="s">
        <v>342</v>
      </c>
      <c r="Q18" s="35" t="s">
        <v>343</v>
      </c>
      <c r="R18" s="35" t="s">
        <v>344</v>
      </c>
      <c r="S18" s="26"/>
      <c r="T18" s="23" t="b">
        <v>1</v>
      </c>
      <c r="U18" s="23" t="s">
        <v>161</v>
      </c>
      <c r="V18" s="27" t="s">
        <v>162</v>
      </c>
      <c r="W18" s="24"/>
      <c r="X18" s="27" t="s">
        <v>163</v>
      </c>
      <c r="Y18" s="27" t="s">
        <v>163</v>
      </c>
      <c r="Z18" s="27" t="s">
        <v>345</v>
      </c>
      <c r="AA18" s="28">
        <v>97517314460</v>
      </c>
      <c r="AB18" s="27" t="s">
        <v>285</v>
      </c>
      <c r="AC18" s="27" t="s">
        <v>197</v>
      </c>
      <c r="AD18" s="27" t="s">
        <v>167</v>
      </c>
      <c r="AE18" s="28">
        <v>110110271723</v>
      </c>
      <c r="AF18" s="27" t="s">
        <v>346</v>
      </c>
      <c r="AG18" s="27" t="s">
        <v>168</v>
      </c>
      <c r="AH18" s="27" t="s">
        <v>182</v>
      </c>
    </row>
    <row r="19" spans="1:34" ht="59.25" customHeight="1">
      <c r="A19" s="15">
        <v>10810001395</v>
      </c>
      <c r="B19" s="15" t="s">
        <v>75</v>
      </c>
      <c r="C19" s="15" t="s">
        <v>148</v>
      </c>
      <c r="D19" s="15" t="s">
        <v>347</v>
      </c>
      <c r="E19" s="15">
        <v>24</v>
      </c>
      <c r="F19" s="15">
        <v>97517321034</v>
      </c>
      <c r="G19" s="15" t="s">
        <v>348</v>
      </c>
      <c r="H19" s="15" t="s">
        <v>349</v>
      </c>
      <c r="I19" s="15" t="s">
        <v>350</v>
      </c>
      <c r="J19" s="15" t="s">
        <v>153</v>
      </c>
      <c r="K19" s="15" t="s">
        <v>239</v>
      </c>
      <c r="L19" s="15" t="s">
        <v>155</v>
      </c>
      <c r="M19" s="15" t="s">
        <v>351</v>
      </c>
      <c r="N19" s="15" t="s">
        <v>352</v>
      </c>
      <c r="O19" s="16"/>
      <c r="P19" s="17" t="s">
        <v>353</v>
      </c>
      <c r="Q19" s="17" t="s">
        <v>354</v>
      </c>
      <c r="R19" s="17" t="s">
        <v>355</v>
      </c>
      <c r="S19" s="42" t="s">
        <v>356</v>
      </c>
      <c r="T19" s="15" t="b">
        <v>0</v>
      </c>
      <c r="U19" s="15" t="s">
        <v>161</v>
      </c>
      <c r="V19" s="19" t="s">
        <v>162</v>
      </c>
      <c r="W19" s="16"/>
      <c r="X19" s="19" t="s">
        <v>163</v>
      </c>
      <c r="Y19" s="19" t="s">
        <v>163</v>
      </c>
      <c r="Z19" s="19" t="s">
        <v>357</v>
      </c>
      <c r="AA19" s="20">
        <v>97517909614</v>
      </c>
      <c r="AB19" s="19" t="s">
        <v>180</v>
      </c>
      <c r="AC19" s="19" t="s">
        <v>166</v>
      </c>
      <c r="AD19" s="19" t="s">
        <v>167</v>
      </c>
      <c r="AE19" s="20">
        <v>110147825856</v>
      </c>
      <c r="AF19" s="19" t="s">
        <v>358</v>
      </c>
      <c r="AG19" s="19" t="s">
        <v>168</v>
      </c>
      <c r="AH19" s="19" t="s">
        <v>169</v>
      </c>
    </row>
    <row r="20" spans="1:34" ht="75" customHeight="1">
      <c r="A20" s="23">
        <v>11510004288</v>
      </c>
      <c r="B20" s="23" t="s">
        <v>79</v>
      </c>
      <c r="C20" s="23" t="s">
        <v>148</v>
      </c>
      <c r="D20" s="23" t="s">
        <v>359</v>
      </c>
      <c r="E20" s="23">
        <v>26</v>
      </c>
      <c r="F20" s="23">
        <v>97517931670</v>
      </c>
      <c r="G20" s="23" t="s">
        <v>360</v>
      </c>
      <c r="H20" s="23" t="s">
        <v>238</v>
      </c>
      <c r="I20" s="23" t="s">
        <v>152</v>
      </c>
      <c r="J20" s="23" t="s">
        <v>188</v>
      </c>
      <c r="K20" s="23" t="s">
        <v>154</v>
      </c>
      <c r="L20" s="23" t="s">
        <v>155</v>
      </c>
      <c r="M20" s="23" t="s">
        <v>361</v>
      </c>
      <c r="N20" s="23" t="s">
        <v>362</v>
      </c>
      <c r="O20" s="24"/>
      <c r="P20" s="25" t="s">
        <v>363</v>
      </c>
      <c r="Q20" s="25" t="s">
        <v>364</v>
      </c>
      <c r="R20" s="25" t="s">
        <v>365</v>
      </c>
      <c r="S20" s="26"/>
      <c r="T20" s="23" t="b">
        <v>0</v>
      </c>
      <c r="U20" s="23" t="s">
        <v>161</v>
      </c>
      <c r="V20" s="27" t="s">
        <v>162</v>
      </c>
      <c r="W20" s="24"/>
      <c r="X20" s="27" t="s">
        <v>163</v>
      </c>
      <c r="Y20" s="27" t="s">
        <v>163</v>
      </c>
      <c r="Z20" s="27" t="s">
        <v>366</v>
      </c>
      <c r="AA20" s="27" t="s">
        <v>367</v>
      </c>
      <c r="AB20" s="27" t="s">
        <v>165</v>
      </c>
      <c r="AC20" s="27" t="s">
        <v>166</v>
      </c>
      <c r="AD20" s="27" t="s">
        <v>167</v>
      </c>
      <c r="AE20" s="28">
        <v>110187624045</v>
      </c>
      <c r="AF20" s="27" t="s">
        <v>368</v>
      </c>
      <c r="AG20" s="27" t="s">
        <v>168</v>
      </c>
      <c r="AH20" s="27" t="s">
        <v>182</v>
      </c>
    </row>
    <row r="21" spans="1:34" ht="65.25" customHeight="1">
      <c r="A21" s="15">
        <v>10713002498</v>
      </c>
      <c r="B21" s="15" t="s">
        <v>42</v>
      </c>
      <c r="C21" s="15" t="s">
        <v>183</v>
      </c>
      <c r="D21" s="15" t="s">
        <v>369</v>
      </c>
      <c r="E21" s="15">
        <v>29</v>
      </c>
      <c r="F21" s="15">
        <v>17688903</v>
      </c>
      <c r="G21" s="15" t="s">
        <v>370</v>
      </c>
      <c r="H21" s="15" t="s">
        <v>329</v>
      </c>
      <c r="I21" s="15" t="s">
        <v>152</v>
      </c>
      <c r="J21" s="15" t="s">
        <v>153</v>
      </c>
      <c r="K21" s="15" t="s">
        <v>239</v>
      </c>
      <c r="L21" s="15" t="s">
        <v>155</v>
      </c>
      <c r="M21" s="15" t="s">
        <v>371</v>
      </c>
      <c r="N21" s="15" t="s">
        <v>372</v>
      </c>
      <c r="O21" s="16"/>
      <c r="P21" s="17" t="s">
        <v>373</v>
      </c>
      <c r="Q21" s="17" t="s">
        <v>374</v>
      </c>
      <c r="R21" s="17" t="s">
        <v>375</v>
      </c>
      <c r="S21" s="42" t="s">
        <v>376</v>
      </c>
      <c r="T21" s="15" t="b">
        <v>0</v>
      </c>
      <c r="U21" s="15" t="s">
        <v>161</v>
      </c>
      <c r="V21" s="19" t="s">
        <v>162</v>
      </c>
      <c r="W21" s="16"/>
      <c r="X21" s="19" t="s">
        <v>163</v>
      </c>
      <c r="Y21" s="19" t="s">
        <v>163</v>
      </c>
      <c r="Z21" s="19" t="s">
        <v>377</v>
      </c>
      <c r="AA21" s="20">
        <v>17453539</v>
      </c>
      <c r="AB21" s="19" t="s">
        <v>165</v>
      </c>
      <c r="AC21" s="19" t="s">
        <v>166</v>
      </c>
      <c r="AD21" s="19" t="s">
        <v>167</v>
      </c>
      <c r="AE21" s="20">
        <v>110141706806</v>
      </c>
      <c r="AF21" s="19" t="s">
        <v>378</v>
      </c>
      <c r="AG21" s="19" t="s">
        <v>168</v>
      </c>
      <c r="AH21" s="19" t="s">
        <v>199</v>
      </c>
    </row>
  </sheetData>
  <hyperlinks>
    <hyperlink ref="P2" r:id="rId1" xr:uid="{D304E12B-7415-4153-BE0A-F9F024DB9914}"/>
    <hyperlink ref="Q2" r:id="rId2" xr:uid="{D68C777D-47C3-400B-9B02-4C7FECD45BCE}"/>
    <hyperlink ref="R2" r:id="rId3" xr:uid="{8EDFFC19-E55E-4495-94D8-91C9E0EA8439}"/>
    <hyperlink ref="P3" r:id="rId4" xr:uid="{D0644F23-B2F4-400D-AF1A-FCF617E51990}"/>
    <hyperlink ref="Q3" r:id="rId5" xr:uid="{D22DD766-3EC8-409C-A771-B73448E3A987}"/>
    <hyperlink ref="R3" r:id="rId6" xr:uid="{451D6CCD-9511-4FB1-82A4-234A05968D8D}"/>
    <hyperlink ref="G3" r:id="rId7" xr:uid="{B0DA1059-A39F-4AEF-9D0C-64445D124E58}"/>
    <hyperlink ref="G2" r:id="rId8" xr:uid="{366D33F9-74FF-4DE1-AE69-2AA24C62A51C}"/>
    <hyperlink ref="P4" r:id="rId9" xr:uid="{0377C120-2D9A-48AB-B2EA-AA2B63FFC34D}"/>
    <hyperlink ref="Q4" r:id="rId10" xr:uid="{CE44E993-8452-4CC8-B121-6E442FD25E10}"/>
    <hyperlink ref="R4" r:id="rId11" xr:uid="{E105A56D-D3D5-48CD-8A2D-C887A999BB46}"/>
    <hyperlink ref="P5" r:id="rId12" xr:uid="{9D874E7A-2CD1-4AEA-B7B9-D4AEBA5E9D39}"/>
    <hyperlink ref="Q5" r:id="rId13" xr:uid="{7284E4C6-F96E-43D0-A3A4-8C05F3987ED2}"/>
    <hyperlink ref="R5" r:id="rId14" xr:uid="{BFB2AA30-0223-4783-9A61-19FBFC08E6D5}"/>
    <hyperlink ref="P6" r:id="rId15" xr:uid="{3FC62F2C-F7C3-4516-B8BC-14EADDD79BFF}"/>
    <hyperlink ref="Q6" r:id="rId16" xr:uid="{F886C786-254B-4CDC-8495-6360D4FFF927}"/>
    <hyperlink ref="R6" r:id="rId17" xr:uid="{84F92211-62A7-4BD0-935C-65872AFA9331}"/>
    <hyperlink ref="P7" r:id="rId18" xr:uid="{050A7CF5-B7F3-45BA-B8FA-AC87E88663F3}"/>
    <hyperlink ref="Q7" r:id="rId19" xr:uid="{67A17880-770D-4468-BB79-BEE619C6A40C}"/>
    <hyperlink ref="R7" r:id="rId20" xr:uid="{C33DF7B7-D118-45AE-A303-7503AC2DACBF}"/>
    <hyperlink ref="P8" r:id="rId21" xr:uid="{AB53CD9E-3020-4F30-9F83-5B478EA0C5CF}"/>
    <hyperlink ref="Q8" r:id="rId22" xr:uid="{990D65B5-3C01-48ED-8342-F77A358CA684}"/>
    <hyperlink ref="R8" r:id="rId23" xr:uid="{04C10C7C-B649-450A-825B-4E3A9CB0ACFF}"/>
    <hyperlink ref="P9" r:id="rId24" xr:uid="{2860AAF9-F298-4383-AA20-569FF3DEA8B5}"/>
    <hyperlink ref="Q9" r:id="rId25" xr:uid="{F66CB82B-BC15-4AD7-97DB-CFD06B782B7F}"/>
    <hyperlink ref="R9" r:id="rId26" xr:uid="{9DEE07F6-010C-4C5A-8B9A-1B13EA963685}"/>
    <hyperlink ref="P10" r:id="rId27" xr:uid="{7E9D7287-4C37-40E5-A71D-DAC3C34F0578}"/>
    <hyperlink ref="Q10" r:id="rId28" xr:uid="{DCB607DE-A8E0-425A-957B-BEEFBCD0BF99}"/>
    <hyperlink ref="R10" r:id="rId29" xr:uid="{80D934D7-2F2C-43F9-83E8-9B269809A0D6}"/>
    <hyperlink ref="P11" r:id="rId30" xr:uid="{E9F9F999-C29D-4629-928D-3EA679C51AEA}"/>
    <hyperlink ref="Q11" r:id="rId31" xr:uid="{1EFD1FCF-F029-480C-9B7E-4414C9736034}"/>
    <hyperlink ref="R11" r:id="rId32" xr:uid="{B456FEF8-C74A-4DAF-8850-596BC3ACCBC5}"/>
    <hyperlink ref="P12" r:id="rId33" xr:uid="{ECD08BBF-4077-44AD-8EF6-068BEAEE9D49}"/>
    <hyperlink ref="Q12" r:id="rId34" xr:uid="{35EAFDF9-A92B-4CFE-AE8C-9E47DB665886}"/>
    <hyperlink ref="R12" r:id="rId35" xr:uid="{4E049A3D-1868-44D0-BF42-AD508DE4CA58}"/>
    <hyperlink ref="P13" r:id="rId36" xr:uid="{B030E1F1-7730-4258-9B04-4C3D4735CA12}"/>
    <hyperlink ref="Q13" r:id="rId37" xr:uid="{199F157F-3F23-46C3-A9F0-7F45CA464086}"/>
    <hyperlink ref="R13" r:id="rId38" xr:uid="{461D0DCA-8EE8-48C1-84CA-DD5B233E3E5B}"/>
    <hyperlink ref="P14" r:id="rId39" xr:uid="{495BF991-8BA5-4272-9A30-C6A4874B4A66}"/>
    <hyperlink ref="Q14" r:id="rId40" xr:uid="{DD620B73-65B0-4506-9629-EDAE5129B0CD}"/>
    <hyperlink ref="R14" r:id="rId41" xr:uid="{BDAC2615-1361-4D62-BA1D-2EE9A0569F7B}"/>
    <hyperlink ref="P15" r:id="rId42" xr:uid="{A4130E65-4931-47EA-9AEA-CF2B68BA9BCD}"/>
    <hyperlink ref="Q15" r:id="rId43" xr:uid="{BB481118-2CC5-415F-AB58-67902E77643C}"/>
    <hyperlink ref="R15" r:id="rId44" xr:uid="{56B8531D-93B0-4691-B62E-E1002102600F}"/>
    <hyperlink ref="P16" r:id="rId45" xr:uid="{ED8829F1-5D2C-460E-806A-B3CC6818B7C8}"/>
    <hyperlink ref="Q16" r:id="rId46" xr:uid="{F667F60D-60D3-46F4-AC2F-511E0E35297C}"/>
    <hyperlink ref="R16" r:id="rId47" xr:uid="{660E9233-F165-42D0-99CB-68F67867DB2A}"/>
    <hyperlink ref="P17" r:id="rId48" xr:uid="{D0E83281-269E-4ACC-A69A-1FC907593E97}"/>
    <hyperlink ref="Q17" r:id="rId49" xr:uid="{8EB7E620-11B2-41F1-8CF2-D7947298F72E}"/>
    <hyperlink ref="R17" r:id="rId50" xr:uid="{D3841562-DD64-4B91-AAC9-654A65CC9624}"/>
    <hyperlink ref="P18" r:id="rId51" xr:uid="{1FB46774-30D8-4668-BD52-BE17C6C5B88C}"/>
    <hyperlink ref="Q18" r:id="rId52" xr:uid="{D219537B-0C8D-4E60-9356-1F10FD107133}"/>
    <hyperlink ref="R18" r:id="rId53" xr:uid="{87388F64-5F7B-4E21-8B0F-04FC7255CC0C}"/>
    <hyperlink ref="P19" r:id="rId54" xr:uid="{30D519AC-5704-4640-B372-829353798EB1}"/>
    <hyperlink ref="Q19" r:id="rId55" xr:uid="{50247C29-E967-4F66-A98A-3D21EC64FF63}"/>
    <hyperlink ref="R19" r:id="rId56" xr:uid="{2DC10376-7AB8-4DAE-AEFD-73B8ACC11B83}"/>
    <hyperlink ref="P20" r:id="rId57" xr:uid="{EA749339-1127-48B4-9D67-42DAA48D55EF}"/>
    <hyperlink ref="Q20" r:id="rId58" xr:uid="{3285A68A-9C9F-4A5A-8201-5FA8737A726D}"/>
    <hyperlink ref="R20" r:id="rId59" xr:uid="{23DFE2BC-0ACC-41C6-8984-2D76AE97D806}"/>
    <hyperlink ref="P21" r:id="rId60" xr:uid="{2C567057-6228-49E8-BE25-36AA0474BB40}"/>
    <hyperlink ref="Q21" r:id="rId61" xr:uid="{3E7A4607-2954-43A6-AECE-5C7CB950B01C}"/>
    <hyperlink ref="R21" r:id="rId62" xr:uid="{50A1C8DD-6C1E-4A7D-A851-49007D674DC9}"/>
  </hyperlinks>
  <pageMargins left="0.7" right="0.7" top="0.75" bottom="0.75" header="0.3" footer="0.3"/>
  <tableParts count="1">
    <tablePart r:id="rId6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35DC-D1FB-46EC-AD73-B1DFDB82239A}">
  <dimension ref="A1:AH9"/>
  <sheetViews>
    <sheetView workbookViewId="0">
      <selection activeCell="A6" sqref="A6:XFD6"/>
    </sheetView>
  </sheetViews>
  <sheetFormatPr defaultRowHeight="15"/>
  <cols>
    <col min="1" max="1" width="17.7109375" customWidth="1"/>
    <col min="2" max="2" width="18.140625" bestFit="1" customWidth="1"/>
    <col min="6" max="6" width="12.85546875" bestFit="1" customWidth="1"/>
  </cols>
  <sheetData>
    <row r="1" spans="1:34" ht="21.75">
      <c r="A1" s="2" t="s">
        <v>115</v>
      </c>
      <c r="B1" s="2" t="s">
        <v>0</v>
      </c>
      <c r="C1" s="2" t="s">
        <v>116</v>
      </c>
      <c r="D1" s="2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2" t="s">
        <v>128</v>
      </c>
      <c r="P1" s="3" t="s">
        <v>129</v>
      </c>
      <c r="Q1" s="3" t="s">
        <v>130</v>
      </c>
      <c r="R1" s="3" t="s">
        <v>131</v>
      </c>
      <c r="S1" s="4" t="s">
        <v>132</v>
      </c>
      <c r="T1" s="3" t="s">
        <v>133</v>
      </c>
      <c r="U1" s="3" t="s">
        <v>134</v>
      </c>
      <c r="V1" s="2" t="s">
        <v>135</v>
      </c>
      <c r="W1" s="2" t="s">
        <v>136</v>
      </c>
      <c r="X1" s="2" t="s">
        <v>137</v>
      </c>
      <c r="Y1" s="2" t="s">
        <v>138</v>
      </c>
      <c r="Z1" s="2" t="s">
        <v>139</v>
      </c>
      <c r="AA1" s="2" t="s">
        <v>140</v>
      </c>
      <c r="AB1" s="2" t="s">
        <v>141</v>
      </c>
      <c r="AC1" s="2" t="s">
        <v>142</v>
      </c>
      <c r="AD1" s="2" t="s">
        <v>143</v>
      </c>
      <c r="AE1" s="2" t="s">
        <v>144</v>
      </c>
      <c r="AF1" s="2" t="s">
        <v>145</v>
      </c>
      <c r="AG1" s="2" t="s">
        <v>146</v>
      </c>
      <c r="AH1" s="2" t="s">
        <v>147</v>
      </c>
    </row>
    <row r="2" spans="1:34" ht="75">
      <c r="A2" s="36">
        <v>11601001508</v>
      </c>
      <c r="B2" s="36" t="s">
        <v>16</v>
      </c>
      <c r="C2" s="36" t="s">
        <v>183</v>
      </c>
      <c r="D2" s="36" t="s">
        <v>379</v>
      </c>
      <c r="E2" s="36">
        <v>21</v>
      </c>
      <c r="F2" s="36">
        <v>17654745</v>
      </c>
      <c r="G2" s="36" t="s">
        <v>380</v>
      </c>
      <c r="H2" s="36" t="s">
        <v>251</v>
      </c>
      <c r="I2" s="36" t="s">
        <v>229</v>
      </c>
      <c r="J2" s="36" t="s">
        <v>153</v>
      </c>
      <c r="K2" s="36" t="s">
        <v>239</v>
      </c>
      <c r="L2" s="36" t="s">
        <v>189</v>
      </c>
      <c r="M2" s="36" t="s">
        <v>381</v>
      </c>
      <c r="N2" s="36" t="s">
        <v>191</v>
      </c>
      <c r="O2" s="37"/>
      <c r="P2" s="38" t="s">
        <v>382</v>
      </c>
      <c r="Q2" s="38" t="s">
        <v>383</v>
      </c>
      <c r="R2" s="38" t="s">
        <v>384</v>
      </c>
      <c r="S2" s="39" t="s">
        <v>385</v>
      </c>
      <c r="T2" s="36" t="b">
        <v>0</v>
      </c>
      <c r="U2" s="36" t="s">
        <v>161</v>
      </c>
      <c r="V2" s="40" t="s">
        <v>162</v>
      </c>
      <c r="W2" s="37"/>
      <c r="X2" s="40" t="s">
        <v>163</v>
      </c>
      <c r="Y2" s="40" t="s">
        <v>163</v>
      </c>
      <c r="Z2" s="40" t="s">
        <v>386</v>
      </c>
      <c r="AA2" s="41">
        <v>97517499817</v>
      </c>
      <c r="AB2" s="40" t="s">
        <v>285</v>
      </c>
      <c r="AC2" s="40" t="s">
        <v>181</v>
      </c>
      <c r="AD2" s="40" t="s">
        <v>167</v>
      </c>
      <c r="AE2" s="41">
        <v>110182065932</v>
      </c>
      <c r="AF2" s="40" t="s">
        <v>387</v>
      </c>
      <c r="AG2" s="40" t="s">
        <v>168</v>
      </c>
      <c r="AH2" s="40" t="s">
        <v>199</v>
      </c>
    </row>
    <row r="3" spans="1:34" ht="48.75" customHeight="1">
      <c r="A3" s="23">
        <v>11512006569</v>
      </c>
      <c r="B3" s="23" t="s">
        <v>26</v>
      </c>
      <c r="C3" s="23" t="s">
        <v>148</v>
      </c>
      <c r="D3" s="23" t="s">
        <v>388</v>
      </c>
      <c r="E3" s="23">
        <v>24</v>
      </c>
      <c r="F3" s="23">
        <v>97517413662</v>
      </c>
      <c r="G3" s="23" t="s">
        <v>389</v>
      </c>
      <c r="H3" s="23" t="s">
        <v>238</v>
      </c>
      <c r="I3" s="23" t="s">
        <v>390</v>
      </c>
      <c r="J3" s="23" t="s">
        <v>153</v>
      </c>
      <c r="K3" s="23" t="s">
        <v>154</v>
      </c>
      <c r="L3" s="23" t="s">
        <v>155</v>
      </c>
      <c r="M3" s="23" t="s">
        <v>391</v>
      </c>
      <c r="N3" s="23" t="s">
        <v>392</v>
      </c>
      <c r="O3" s="24"/>
      <c r="P3" s="25" t="s">
        <v>393</v>
      </c>
      <c r="Q3" s="25" t="s">
        <v>394</v>
      </c>
      <c r="R3" s="25" t="s">
        <v>395</v>
      </c>
      <c r="S3" s="26"/>
      <c r="T3" s="23" t="b">
        <v>0</v>
      </c>
      <c r="U3" s="23" t="s">
        <v>161</v>
      </c>
      <c r="V3" s="27" t="s">
        <v>162</v>
      </c>
      <c r="W3" s="24"/>
      <c r="X3" s="27" t="s">
        <v>163</v>
      </c>
      <c r="Y3" s="27" t="s">
        <v>163</v>
      </c>
      <c r="Z3" s="27" t="s">
        <v>396</v>
      </c>
      <c r="AA3" s="28">
        <v>97517255420</v>
      </c>
      <c r="AB3" s="27" t="s">
        <v>285</v>
      </c>
      <c r="AC3" s="27" t="s">
        <v>197</v>
      </c>
      <c r="AD3" s="27" t="s">
        <v>167</v>
      </c>
      <c r="AE3" s="28">
        <v>110142723198</v>
      </c>
      <c r="AF3" s="24"/>
      <c r="AG3" s="27" t="s">
        <v>168</v>
      </c>
      <c r="AH3" s="27" t="s">
        <v>182</v>
      </c>
    </row>
    <row r="4" spans="1:34" ht="44.25" customHeight="1">
      <c r="A4" s="15">
        <v>11504004571</v>
      </c>
      <c r="B4" s="15" t="s">
        <v>29</v>
      </c>
      <c r="C4" s="15" t="s">
        <v>183</v>
      </c>
      <c r="D4" s="15" t="s">
        <v>397</v>
      </c>
      <c r="E4" s="15">
        <v>22</v>
      </c>
      <c r="F4" s="15">
        <v>77229642</v>
      </c>
      <c r="G4" s="15" t="s">
        <v>398</v>
      </c>
      <c r="H4" s="15" t="s">
        <v>238</v>
      </c>
      <c r="I4" s="15" t="s">
        <v>399</v>
      </c>
      <c r="J4" s="15" t="s">
        <v>153</v>
      </c>
      <c r="K4" s="15" t="s">
        <v>239</v>
      </c>
      <c r="L4" s="15" t="s">
        <v>189</v>
      </c>
      <c r="M4" s="15" t="s">
        <v>381</v>
      </c>
      <c r="N4" s="15" t="s">
        <v>191</v>
      </c>
      <c r="O4" s="16"/>
      <c r="P4" s="17" t="s">
        <v>400</v>
      </c>
      <c r="Q4" s="17" t="s">
        <v>401</v>
      </c>
      <c r="R4" s="17" t="s">
        <v>402</v>
      </c>
      <c r="S4" s="18"/>
      <c r="T4" s="15" t="b">
        <v>0</v>
      </c>
      <c r="U4" s="15" t="s">
        <v>161</v>
      </c>
      <c r="V4" s="19" t="s">
        <v>162</v>
      </c>
      <c r="W4" s="16"/>
      <c r="X4" s="19" t="s">
        <v>163</v>
      </c>
      <c r="Y4" s="19" t="s">
        <v>163</v>
      </c>
      <c r="Z4" s="19" t="s">
        <v>403</v>
      </c>
      <c r="AA4" s="20">
        <v>97577239566</v>
      </c>
      <c r="AB4" s="19" t="s">
        <v>224</v>
      </c>
      <c r="AC4" s="19" t="s">
        <v>197</v>
      </c>
      <c r="AD4" s="19" t="s">
        <v>167</v>
      </c>
      <c r="AE4" s="20">
        <v>110165097539</v>
      </c>
      <c r="AF4" s="19" t="s">
        <v>404</v>
      </c>
      <c r="AG4" s="19" t="s">
        <v>168</v>
      </c>
      <c r="AH4" s="19" t="s">
        <v>182</v>
      </c>
    </row>
    <row r="5" spans="1:34" ht="51.75" customHeight="1">
      <c r="A5" s="15">
        <v>10708003392</v>
      </c>
      <c r="B5" s="15" t="s">
        <v>33</v>
      </c>
      <c r="C5" s="15" t="s">
        <v>183</v>
      </c>
      <c r="D5" s="15" t="s">
        <v>405</v>
      </c>
      <c r="E5" s="15">
        <v>23</v>
      </c>
      <c r="F5" s="15">
        <v>17923587</v>
      </c>
      <c r="G5" s="15" t="s">
        <v>406</v>
      </c>
      <c r="H5" s="15" t="s">
        <v>329</v>
      </c>
      <c r="I5" s="15" t="s">
        <v>407</v>
      </c>
      <c r="J5" s="15" t="s">
        <v>153</v>
      </c>
      <c r="K5" s="15" t="s">
        <v>217</v>
      </c>
      <c r="L5" s="15" t="s">
        <v>189</v>
      </c>
      <c r="M5" s="15" t="s">
        <v>408</v>
      </c>
      <c r="N5" s="15" t="s">
        <v>191</v>
      </c>
      <c r="O5" s="16"/>
      <c r="P5" s="17" t="s">
        <v>409</v>
      </c>
      <c r="Q5" s="17" t="s">
        <v>410</v>
      </c>
      <c r="R5" s="17" t="s">
        <v>411</v>
      </c>
      <c r="S5" s="42" t="s">
        <v>412</v>
      </c>
      <c r="T5" s="15" t="b">
        <v>0</v>
      </c>
      <c r="U5" s="15" t="s">
        <v>161</v>
      </c>
      <c r="V5" s="19" t="s">
        <v>162</v>
      </c>
      <c r="W5" s="16"/>
      <c r="X5" s="19" t="s">
        <v>163</v>
      </c>
      <c r="Y5" s="19" t="s">
        <v>163</v>
      </c>
      <c r="Z5" s="19" t="s">
        <v>413</v>
      </c>
      <c r="AA5" s="20">
        <v>97517554173</v>
      </c>
      <c r="AB5" s="19" t="s">
        <v>224</v>
      </c>
      <c r="AC5" s="19" t="s">
        <v>197</v>
      </c>
      <c r="AD5" s="19" t="s">
        <v>167</v>
      </c>
      <c r="AE5" s="20">
        <v>110101511198</v>
      </c>
      <c r="AF5" s="16"/>
      <c r="AG5" s="19" t="s">
        <v>168</v>
      </c>
      <c r="AH5" s="19" t="s">
        <v>169</v>
      </c>
    </row>
    <row r="6" spans="1:34" ht="43.5" customHeight="1">
      <c r="A6" s="15">
        <v>11410007218</v>
      </c>
      <c r="B6" s="15" t="s">
        <v>67</v>
      </c>
      <c r="C6" s="15" t="s">
        <v>148</v>
      </c>
      <c r="D6" s="15" t="s">
        <v>414</v>
      </c>
      <c r="E6" s="15">
        <v>28</v>
      </c>
      <c r="F6" s="15">
        <v>97517685580</v>
      </c>
      <c r="G6" s="15" t="s">
        <v>415</v>
      </c>
      <c r="H6" s="15" t="s">
        <v>202</v>
      </c>
      <c r="I6" s="15" t="s">
        <v>416</v>
      </c>
      <c r="J6" s="15" t="s">
        <v>153</v>
      </c>
      <c r="K6" s="15" t="s">
        <v>204</v>
      </c>
      <c r="L6" s="15" t="s">
        <v>189</v>
      </c>
      <c r="M6" s="15" t="s">
        <v>417</v>
      </c>
      <c r="N6" s="15" t="s">
        <v>191</v>
      </c>
      <c r="O6" s="16"/>
      <c r="P6" s="17" t="s">
        <v>418</v>
      </c>
      <c r="Q6" s="17" t="s">
        <v>419</v>
      </c>
      <c r="R6" s="17" t="s">
        <v>420</v>
      </c>
      <c r="S6" s="42" t="s">
        <v>421</v>
      </c>
      <c r="T6" s="15" t="b">
        <v>0</v>
      </c>
      <c r="U6" s="15" t="s">
        <v>161</v>
      </c>
      <c r="V6" s="19" t="s">
        <v>162</v>
      </c>
      <c r="W6" s="16"/>
      <c r="X6" s="19" t="s">
        <v>163</v>
      </c>
      <c r="Y6" s="19" t="s">
        <v>163</v>
      </c>
      <c r="Z6" s="19" t="s">
        <v>422</v>
      </c>
      <c r="AA6" s="15" t="s">
        <v>423</v>
      </c>
      <c r="AB6" s="19" t="s">
        <v>285</v>
      </c>
      <c r="AC6" s="19" t="s">
        <v>197</v>
      </c>
      <c r="AD6" s="19" t="s">
        <v>167</v>
      </c>
      <c r="AE6" s="20">
        <v>110102842251</v>
      </c>
      <c r="AF6" s="19" t="s">
        <v>424</v>
      </c>
      <c r="AG6" s="19" t="s">
        <v>168</v>
      </c>
      <c r="AH6" s="19" t="s">
        <v>199</v>
      </c>
    </row>
    <row r="7" spans="1:34" ht="74.25" customHeight="1">
      <c r="A7" s="15">
        <v>10705003593</v>
      </c>
      <c r="B7" s="15" t="s">
        <v>73</v>
      </c>
      <c r="C7" s="15" t="s">
        <v>148</v>
      </c>
      <c r="D7" s="15" t="s">
        <v>425</v>
      </c>
      <c r="E7" s="15">
        <v>27</v>
      </c>
      <c r="F7" s="15">
        <v>97517938780</v>
      </c>
      <c r="G7" s="15" t="s">
        <v>426</v>
      </c>
      <c r="H7" s="15" t="s">
        <v>329</v>
      </c>
      <c r="I7" s="15" t="s">
        <v>427</v>
      </c>
      <c r="J7" s="15" t="s">
        <v>153</v>
      </c>
      <c r="K7" s="15" t="s">
        <v>154</v>
      </c>
      <c r="L7" s="15" t="s">
        <v>155</v>
      </c>
      <c r="M7" s="15" t="s">
        <v>428</v>
      </c>
      <c r="N7" s="15" t="s">
        <v>429</v>
      </c>
      <c r="O7" s="16"/>
      <c r="P7" s="17" t="s">
        <v>430</v>
      </c>
      <c r="Q7" s="17" t="s">
        <v>431</v>
      </c>
      <c r="R7" s="17" t="s">
        <v>432</v>
      </c>
      <c r="S7" s="18"/>
      <c r="T7" s="15" t="b">
        <v>0</v>
      </c>
      <c r="U7" s="15" t="s">
        <v>161</v>
      </c>
      <c r="V7" s="19" t="s">
        <v>162</v>
      </c>
      <c r="W7" s="16"/>
      <c r="X7" s="19" t="s">
        <v>163</v>
      </c>
      <c r="Y7" s="19" t="s">
        <v>163</v>
      </c>
      <c r="Z7" s="19" t="s">
        <v>433</v>
      </c>
      <c r="AA7" s="20">
        <v>97517634753</v>
      </c>
      <c r="AB7" s="19" t="s">
        <v>180</v>
      </c>
      <c r="AC7" s="19" t="s">
        <v>166</v>
      </c>
      <c r="AD7" s="19" t="s">
        <v>167</v>
      </c>
      <c r="AE7" s="20">
        <v>110179013751</v>
      </c>
      <c r="AF7" s="19" t="s">
        <v>434</v>
      </c>
      <c r="AG7" s="19" t="s">
        <v>168</v>
      </c>
      <c r="AH7" s="19" t="s">
        <v>199</v>
      </c>
    </row>
    <row r="8" spans="1:34" ht="69" customHeight="1"/>
    <row r="9" spans="1:34" ht="53.25" customHeight="1"/>
  </sheetData>
  <hyperlinks>
    <hyperlink ref="P2" r:id="rId1" xr:uid="{2F38E17E-AF25-4216-A72E-17FE4311F3F3}"/>
    <hyperlink ref="Q2" r:id="rId2" xr:uid="{A00E6DFE-31A4-48CC-8041-AD6E6AF24926}"/>
    <hyperlink ref="R2" r:id="rId3" xr:uid="{2E528623-F2CE-4965-8C1C-71FFB0980A95}"/>
    <hyperlink ref="P3" r:id="rId4" xr:uid="{C83AD3F3-413C-4597-B3BC-BE4B144DF5C8}"/>
    <hyperlink ref="Q3" r:id="rId5" xr:uid="{062DF1FF-22E3-4791-BD4C-A3D47CCB67B5}"/>
    <hyperlink ref="R3" r:id="rId6" xr:uid="{9857411E-98F1-4A07-9D3C-1679789E28C5}"/>
    <hyperlink ref="P4" r:id="rId7" xr:uid="{5F2F1C88-E9CB-409F-8E7E-D50AE858BA6D}"/>
    <hyperlink ref="Q4" r:id="rId8" xr:uid="{6059905A-B5C9-41E5-9C4C-A9329E24C4F1}"/>
    <hyperlink ref="R4" r:id="rId9" xr:uid="{4541EC6B-FB24-425A-B055-4A00301CF219}"/>
    <hyperlink ref="P5" r:id="rId10" xr:uid="{1ED621D3-CFA2-445D-A6E1-9DE3C62BCA85}"/>
    <hyperlink ref="Q5" r:id="rId11" xr:uid="{D58F9B81-EEFD-4CF7-9CC7-ED2D64F4D3C9}"/>
    <hyperlink ref="R5" r:id="rId12" xr:uid="{72E2BD92-7ED1-4BC3-88F3-37CD921488EB}"/>
    <hyperlink ref="P6" r:id="rId13" xr:uid="{E8C77F31-F9AE-4C37-846A-8A443F7B462B}"/>
    <hyperlink ref="Q6" r:id="rId14" xr:uid="{E60A81C8-FEF3-4A27-B26C-02E158F757CA}"/>
    <hyperlink ref="R6" r:id="rId15" xr:uid="{87504EC6-AAED-407E-9407-7B8AF00B2F37}"/>
    <hyperlink ref="P7" r:id="rId16" xr:uid="{E63E612F-09A8-4E15-8116-C235555B8540}"/>
    <hyperlink ref="Q7" r:id="rId17" xr:uid="{1567613A-F019-4F58-A401-9FA1EB2178E2}"/>
    <hyperlink ref="R7" r:id="rId18" xr:uid="{648DADD9-DC74-4045-95AC-37AA805E67C8}"/>
  </hyperlinks>
  <pageMargins left="0.7" right="0.7" top="0.75" bottom="0.75" header="0.3" footer="0.3"/>
  <tableParts count="1"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265B-C8CE-4A70-BEF8-E6E92EC7CB53}">
  <dimension ref="A1:AI17"/>
  <sheetViews>
    <sheetView workbookViewId="0">
      <selection activeCell="G10" sqref="G10"/>
    </sheetView>
  </sheetViews>
  <sheetFormatPr defaultRowHeight="15"/>
  <cols>
    <col min="1" max="1" width="19.28515625" customWidth="1"/>
    <col min="2" max="2" width="26.5703125" customWidth="1"/>
    <col min="3" max="3" width="26.42578125" customWidth="1"/>
    <col min="4" max="4" width="28.7109375" customWidth="1"/>
    <col min="6" max="6" width="18.7109375" customWidth="1"/>
    <col min="7" max="7" width="37.140625" style="1" customWidth="1"/>
    <col min="8" max="8" width="39.140625" customWidth="1"/>
    <col min="9" max="9" width="24.42578125" customWidth="1"/>
    <col min="10" max="10" width="22.7109375" customWidth="1"/>
    <col min="11" max="11" width="23.140625" customWidth="1"/>
    <col min="12" max="12" width="23.5703125" customWidth="1"/>
    <col min="13" max="13" width="20.5703125" customWidth="1"/>
    <col min="14" max="14" width="20.85546875" customWidth="1"/>
    <col min="15" max="15" width="22.7109375" customWidth="1"/>
    <col min="16" max="16" width="36.28515625" customWidth="1"/>
    <col min="17" max="17" width="26.140625" customWidth="1"/>
    <col min="18" max="18" width="34.7109375" customWidth="1"/>
    <col min="19" max="19" width="27" customWidth="1"/>
    <col min="20" max="20" width="29.42578125" customWidth="1"/>
    <col min="21" max="21" width="25.7109375" customWidth="1"/>
    <col min="22" max="22" width="20.5703125" customWidth="1"/>
    <col min="23" max="23" width="21.7109375" customWidth="1"/>
    <col min="24" max="24" width="20.85546875" customWidth="1"/>
    <col min="25" max="25" width="21.7109375" customWidth="1"/>
    <col min="26" max="26" width="21.140625" customWidth="1"/>
    <col min="27" max="27" width="22.5703125" customWidth="1"/>
    <col min="28" max="28" width="24.5703125" customWidth="1"/>
    <col min="29" max="29" width="22.28515625" customWidth="1"/>
    <col min="30" max="30" width="13.42578125" customWidth="1"/>
    <col min="31" max="31" width="26" customWidth="1"/>
    <col min="32" max="32" width="14.85546875" customWidth="1"/>
    <col min="34" max="34" width="19.85546875" customWidth="1"/>
  </cols>
  <sheetData>
    <row r="1" spans="1:35" ht="21.75">
      <c r="A1" s="2" t="s">
        <v>115</v>
      </c>
      <c r="B1" s="2" t="s">
        <v>0</v>
      </c>
      <c r="C1" s="2" t="s">
        <v>116</v>
      </c>
      <c r="D1" s="2" t="s">
        <v>117</v>
      </c>
      <c r="E1" s="3" t="s">
        <v>118</v>
      </c>
      <c r="F1" s="3" t="s">
        <v>119</v>
      </c>
      <c r="G1" s="4" t="s">
        <v>435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124</v>
      </c>
      <c r="M1" s="3" t="s">
        <v>125</v>
      </c>
      <c r="N1" s="3" t="s">
        <v>126</v>
      </c>
      <c r="O1" s="3" t="s">
        <v>127</v>
      </c>
      <c r="P1" s="4" t="s">
        <v>129</v>
      </c>
      <c r="Q1" s="4" t="s">
        <v>130</v>
      </c>
      <c r="R1" s="4" t="s">
        <v>131</v>
      </c>
      <c r="S1" s="4" t="s">
        <v>132</v>
      </c>
      <c r="T1" s="3" t="s">
        <v>133</v>
      </c>
      <c r="U1" s="3" t="s">
        <v>134</v>
      </c>
      <c r="V1" s="2" t="s">
        <v>135</v>
      </c>
      <c r="W1" s="2" t="s">
        <v>136</v>
      </c>
      <c r="X1" s="2" t="s">
        <v>137</v>
      </c>
      <c r="Y1" s="2" t="s">
        <v>138</v>
      </c>
      <c r="Z1" s="2" t="s">
        <v>139</v>
      </c>
      <c r="AA1" s="2" t="s">
        <v>140</v>
      </c>
      <c r="AB1" s="2" t="s">
        <v>141</v>
      </c>
      <c r="AC1" s="2" t="s">
        <v>142</v>
      </c>
      <c r="AD1" s="2" t="s">
        <v>143</v>
      </c>
      <c r="AE1" s="2" t="s">
        <v>144</v>
      </c>
      <c r="AF1" s="2" t="s">
        <v>145</v>
      </c>
      <c r="AG1" s="2" t="s">
        <v>146</v>
      </c>
      <c r="AH1" s="2" t="s">
        <v>147</v>
      </c>
    </row>
    <row r="2" spans="1:35" s="13" customFormat="1" ht="35.25" customHeight="1">
      <c r="A2" s="7">
        <v>11208000546</v>
      </c>
      <c r="B2" s="7" t="s">
        <v>49</v>
      </c>
      <c r="C2" s="7" t="s">
        <v>148</v>
      </c>
      <c r="D2" s="7" t="s">
        <v>436</v>
      </c>
      <c r="E2" s="7">
        <v>32</v>
      </c>
      <c r="F2" s="7">
        <v>97517625122</v>
      </c>
      <c r="G2" s="14" t="s">
        <v>437</v>
      </c>
      <c r="H2" s="7" t="s">
        <v>438</v>
      </c>
      <c r="I2" s="7" t="s">
        <v>202</v>
      </c>
      <c r="J2" s="7" t="s">
        <v>439</v>
      </c>
      <c r="K2" s="7" t="s">
        <v>188</v>
      </c>
      <c r="L2" s="7" t="s">
        <v>239</v>
      </c>
      <c r="M2" s="7" t="s">
        <v>189</v>
      </c>
      <c r="N2" s="7" t="s">
        <v>440</v>
      </c>
      <c r="O2" s="7" t="s">
        <v>441</v>
      </c>
      <c r="P2" s="9" t="s">
        <v>442</v>
      </c>
      <c r="Q2" s="9" t="s">
        <v>443</v>
      </c>
      <c r="R2" s="9" t="s">
        <v>444</v>
      </c>
      <c r="S2" s="14" t="s">
        <v>445</v>
      </c>
      <c r="T2" s="7" t="b">
        <v>0</v>
      </c>
      <c r="U2" s="7" t="s">
        <v>161</v>
      </c>
      <c r="V2" s="11" t="s">
        <v>162</v>
      </c>
      <c r="W2" s="8"/>
      <c r="X2" s="11" t="s">
        <v>163</v>
      </c>
      <c r="Y2" s="11" t="s">
        <v>163</v>
      </c>
      <c r="Z2" s="11" t="s">
        <v>446</v>
      </c>
      <c r="AA2" s="12">
        <v>97517703413</v>
      </c>
      <c r="AB2" s="11" t="s">
        <v>196</v>
      </c>
      <c r="AC2" s="11" t="s">
        <v>166</v>
      </c>
      <c r="AD2" s="11" t="s">
        <v>167</v>
      </c>
      <c r="AE2" s="12">
        <v>110189251427</v>
      </c>
      <c r="AF2" s="11" t="s">
        <v>447</v>
      </c>
      <c r="AG2" s="11" t="s">
        <v>168</v>
      </c>
      <c r="AH2" s="11" t="s">
        <v>182</v>
      </c>
    </row>
    <row r="3" spans="1:35" s="13" customFormat="1" ht="39" customHeight="1">
      <c r="A3" s="7">
        <v>11206005505</v>
      </c>
      <c r="B3" s="7" t="s">
        <v>54</v>
      </c>
      <c r="C3" s="7" t="s">
        <v>148</v>
      </c>
      <c r="D3" s="7" t="s">
        <v>448</v>
      </c>
      <c r="E3" s="7">
        <v>23</v>
      </c>
      <c r="F3" s="7">
        <v>97577966722</v>
      </c>
      <c r="G3" s="14" t="s">
        <v>449</v>
      </c>
      <c r="H3" s="7" t="s">
        <v>450</v>
      </c>
      <c r="I3" s="7" t="s">
        <v>202</v>
      </c>
      <c r="J3" s="7" t="s">
        <v>152</v>
      </c>
      <c r="K3" s="7" t="s">
        <v>451</v>
      </c>
      <c r="L3" s="7" t="s">
        <v>154</v>
      </c>
      <c r="M3" s="7" t="s">
        <v>155</v>
      </c>
      <c r="N3" s="7" t="s">
        <v>452</v>
      </c>
      <c r="O3" s="7" t="s">
        <v>453</v>
      </c>
      <c r="P3" s="9" t="s">
        <v>454</v>
      </c>
      <c r="Q3" s="9" t="s">
        <v>455</v>
      </c>
      <c r="R3" s="9" t="s">
        <v>456</v>
      </c>
      <c r="S3" s="10"/>
      <c r="T3" s="7" t="b">
        <v>0</v>
      </c>
      <c r="U3" s="7" t="s">
        <v>161</v>
      </c>
      <c r="V3" s="11" t="s">
        <v>162</v>
      </c>
      <c r="W3" s="8"/>
      <c r="X3" s="11" t="s">
        <v>163</v>
      </c>
      <c r="Y3" s="11" t="s">
        <v>163</v>
      </c>
      <c r="Z3" s="11" t="s">
        <v>457</v>
      </c>
      <c r="AA3" s="12">
        <v>97517603287</v>
      </c>
      <c r="AB3" s="11" t="s">
        <v>285</v>
      </c>
      <c r="AC3" s="11" t="s">
        <v>181</v>
      </c>
      <c r="AD3" s="8"/>
      <c r="AE3" s="8"/>
      <c r="AF3" s="8"/>
      <c r="AG3" s="11" t="s">
        <v>168</v>
      </c>
      <c r="AH3" s="11" t="s">
        <v>182</v>
      </c>
    </row>
    <row r="4" spans="1:35" s="13" customFormat="1" ht="39.75" customHeight="1">
      <c r="A4" s="7">
        <v>11301003461</v>
      </c>
      <c r="B4" s="7" t="s">
        <v>60</v>
      </c>
      <c r="C4" s="7" t="s">
        <v>183</v>
      </c>
      <c r="D4" s="7" t="s">
        <v>458</v>
      </c>
      <c r="E4" s="7">
        <v>25</v>
      </c>
      <c r="F4" s="7">
        <v>77344794</v>
      </c>
      <c r="G4" s="14" t="s">
        <v>459</v>
      </c>
      <c r="H4" s="7" t="s">
        <v>460</v>
      </c>
      <c r="I4" s="7" t="s">
        <v>172</v>
      </c>
      <c r="J4" s="7" t="s">
        <v>461</v>
      </c>
      <c r="K4" s="7" t="s">
        <v>153</v>
      </c>
      <c r="L4" s="7" t="s">
        <v>154</v>
      </c>
      <c r="M4" s="7" t="s">
        <v>155</v>
      </c>
      <c r="N4" s="7" t="s">
        <v>462</v>
      </c>
      <c r="O4" s="7" t="s">
        <v>463</v>
      </c>
      <c r="P4" s="9" t="s">
        <v>464</v>
      </c>
      <c r="Q4" s="9" t="s">
        <v>465</v>
      </c>
      <c r="R4" s="9" t="s">
        <v>466</v>
      </c>
      <c r="S4" s="10"/>
      <c r="T4" s="7" t="b">
        <v>1</v>
      </c>
      <c r="U4" s="7" t="s">
        <v>161</v>
      </c>
      <c r="V4" s="11" t="s">
        <v>162</v>
      </c>
      <c r="W4" s="8"/>
      <c r="X4" s="11" t="s">
        <v>163</v>
      </c>
      <c r="Y4" s="11" t="s">
        <v>163</v>
      </c>
      <c r="Z4" s="12">
        <v>77308044</v>
      </c>
      <c r="AA4" s="12">
        <v>17524912</v>
      </c>
      <c r="AB4" s="11" t="s">
        <v>285</v>
      </c>
      <c r="AC4" s="11" t="s">
        <v>166</v>
      </c>
      <c r="AD4" s="11" t="s">
        <v>467</v>
      </c>
      <c r="AE4" s="12">
        <v>204194448</v>
      </c>
      <c r="AF4" s="8"/>
      <c r="AG4" s="11" t="s">
        <v>168</v>
      </c>
      <c r="AH4" s="11" t="s">
        <v>199</v>
      </c>
    </row>
    <row r="5" spans="1:35" s="13" customFormat="1" ht="38.25" customHeight="1">
      <c r="A5" s="7">
        <v>12005003174</v>
      </c>
      <c r="B5" s="7" t="s">
        <v>64</v>
      </c>
      <c r="C5" s="7" t="s">
        <v>183</v>
      </c>
      <c r="D5" s="7" t="s">
        <v>468</v>
      </c>
      <c r="E5" s="7">
        <v>25</v>
      </c>
      <c r="F5" s="7">
        <v>97577777495</v>
      </c>
      <c r="G5" s="14" t="s">
        <v>469</v>
      </c>
      <c r="H5" s="7" t="s">
        <v>470</v>
      </c>
      <c r="I5" s="7" t="s">
        <v>471</v>
      </c>
      <c r="J5" s="7" t="s">
        <v>472</v>
      </c>
      <c r="K5" s="7" t="s">
        <v>153</v>
      </c>
      <c r="L5" s="7" t="s">
        <v>154</v>
      </c>
      <c r="M5" s="7" t="s">
        <v>155</v>
      </c>
      <c r="N5" s="7" t="s">
        <v>473</v>
      </c>
      <c r="O5" s="7" t="s">
        <v>474</v>
      </c>
      <c r="P5" s="9" t="s">
        <v>475</v>
      </c>
      <c r="Q5" s="9" t="s">
        <v>476</v>
      </c>
      <c r="R5" s="9" t="s">
        <v>477</v>
      </c>
      <c r="S5" s="10"/>
      <c r="T5" s="7" t="b">
        <v>1</v>
      </c>
      <c r="U5" s="7" t="s">
        <v>161</v>
      </c>
      <c r="V5" s="11" t="s">
        <v>162</v>
      </c>
      <c r="W5" s="8"/>
      <c r="X5" s="11" t="s">
        <v>163</v>
      </c>
      <c r="Y5" s="11" t="s">
        <v>163</v>
      </c>
      <c r="Z5" s="11" t="s">
        <v>478</v>
      </c>
      <c r="AA5" s="12">
        <v>97517392414</v>
      </c>
      <c r="AB5" s="11" t="s">
        <v>165</v>
      </c>
      <c r="AC5" s="11" t="s">
        <v>166</v>
      </c>
      <c r="AD5" s="11" t="s">
        <v>167</v>
      </c>
      <c r="AE5" s="12">
        <v>110180245947</v>
      </c>
      <c r="AF5" s="8"/>
      <c r="AG5" s="11" t="s">
        <v>168</v>
      </c>
      <c r="AH5" s="11" t="s">
        <v>169</v>
      </c>
    </row>
    <row r="6" spans="1:35" s="13" customFormat="1" ht="34.5" customHeight="1">
      <c r="A6" s="7">
        <v>11501002581</v>
      </c>
      <c r="B6" s="7" t="s">
        <v>479</v>
      </c>
      <c r="C6" s="7" t="s">
        <v>148</v>
      </c>
      <c r="D6" s="7" t="s">
        <v>480</v>
      </c>
      <c r="E6" s="7">
        <v>24</v>
      </c>
      <c r="F6" s="7">
        <v>97517311024</v>
      </c>
      <c r="G6" s="14" t="s">
        <v>481</v>
      </c>
      <c r="H6" s="7" t="s">
        <v>482</v>
      </c>
      <c r="I6" s="7" t="s">
        <v>238</v>
      </c>
      <c r="J6" s="7" t="s">
        <v>289</v>
      </c>
      <c r="K6" s="7" t="s">
        <v>153</v>
      </c>
      <c r="L6" s="7" t="s">
        <v>154</v>
      </c>
      <c r="M6" s="7" t="s">
        <v>189</v>
      </c>
      <c r="N6" s="7" t="s">
        <v>483</v>
      </c>
      <c r="O6" s="7" t="s">
        <v>484</v>
      </c>
      <c r="P6" s="9" t="s">
        <v>485</v>
      </c>
      <c r="Q6" s="9" t="s">
        <v>486</v>
      </c>
      <c r="R6" s="9" t="s">
        <v>487</v>
      </c>
      <c r="S6" s="10"/>
      <c r="T6" s="7" t="b">
        <v>0</v>
      </c>
      <c r="U6" s="7" t="s">
        <v>161</v>
      </c>
      <c r="V6" s="11" t="s">
        <v>162</v>
      </c>
      <c r="W6" s="8"/>
      <c r="X6" s="11" t="s">
        <v>163</v>
      </c>
      <c r="Y6" s="11" t="s">
        <v>163</v>
      </c>
      <c r="Z6" s="11" t="s">
        <v>488</v>
      </c>
      <c r="AA6" s="12">
        <v>97517604865</v>
      </c>
      <c r="AB6" s="11" t="s">
        <v>180</v>
      </c>
      <c r="AC6" s="11" t="s">
        <v>166</v>
      </c>
      <c r="AD6" s="11" t="s">
        <v>167</v>
      </c>
      <c r="AE6" s="12">
        <v>110152614378</v>
      </c>
      <c r="AF6" s="8"/>
      <c r="AG6" s="11" t="s">
        <v>168</v>
      </c>
      <c r="AH6" s="11" t="s">
        <v>182</v>
      </c>
    </row>
    <row r="7" spans="1:35" ht="33.75" customHeight="1">
      <c r="A7" s="7">
        <v>11608002636</v>
      </c>
      <c r="B7" s="7" t="s">
        <v>71</v>
      </c>
      <c r="C7" s="7" t="s">
        <v>148</v>
      </c>
      <c r="D7" s="7" t="s">
        <v>489</v>
      </c>
      <c r="E7" s="7">
        <v>22</v>
      </c>
      <c r="F7" s="7">
        <v>97577230480</v>
      </c>
      <c r="G7" s="14" t="s">
        <v>490</v>
      </c>
      <c r="H7" s="7" t="s">
        <v>491</v>
      </c>
      <c r="I7" s="7" t="s">
        <v>251</v>
      </c>
      <c r="J7" s="7" t="s">
        <v>492</v>
      </c>
      <c r="K7" s="7" t="s">
        <v>153</v>
      </c>
      <c r="L7" s="7" t="s">
        <v>154</v>
      </c>
      <c r="M7" s="7" t="s">
        <v>189</v>
      </c>
      <c r="N7" s="7" t="s">
        <v>493</v>
      </c>
      <c r="O7" s="7" t="s">
        <v>191</v>
      </c>
      <c r="P7" s="9" t="s">
        <v>494</v>
      </c>
      <c r="Q7" s="9" t="s">
        <v>495</v>
      </c>
      <c r="R7" s="9" t="s">
        <v>496</v>
      </c>
      <c r="S7" s="10"/>
      <c r="T7" s="7" t="b">
        <v>0</v>
      </c>
      <c r="U7" s="7" t="s">
        <v>161</v>
      </c>
      <c r="V7" s="11" t="s">
        <v>162</v>
      </c>
      <c r="W7" s="8"/>
      <c r="X7" s="11" t="s">
        <v>163</v>
      </c>
      <c r="Y7" s="11" t="s">
        <v>163</v>
      </c>
      <c r="Z7" s="12">
        <v>17278430</v>
      </c>
      <c r="AA7" s="11" t="s">
        <v>497</v>
      </c>
      <c r="AB7" s="11" t="s">
        <v>165</v>
      </c>
      <c r="AC7" s="11" t="s">
        <v>166</v>
      </c>
      <c r="AD7" s="11" t="s">
        <v>167</v>
      </c>
      <c r="AE7" s="12">
        <v>110156103994</v>
      </c>
      <c r="AF7" s="8"/>
      <c r="AG7" s="11" t="s">
        <v>168</v>
      </c>
      <c r="AH7" s="11" t="s">
        <v>199</v>
      </c>
      <c r="AI7" s="13"/>
    </row>
    <row r="8" spans="1:35" s="13" customFormat="1" ht="35.25" customHeight="1">
      <c r="A8" s="7">
        <v>11102006389</v>
      </c>
      <c r="B8" s="7" t="s">
        <v>80</v>
      </c>
      <c r="C8" s="7" t="s">
        <v>148</v>
      </c>
      <c r="D8" s="7" t="s">
        <v>498</v>
      </c>
      <c r="E8" s="7">
        <v>29</v>
      </c>
      <c r="F8" s="7">
        <v>97577477810</v>
      </c>
      <c r="G8" s="14" t="s">
        <v>499</v>
      </c>
      <c r="H8" s="7" t="s">
        <v>500</v>
      </c>
      <c r="I8" s="7" t="s">
        <v>339</v>
      </c>
      <c r="J8" s="7" t="s">
        <v>501</v>
      </c>
      <c r="K8" s="7" t="s">
        <v>188</v>
      </c>
      <c r="L8" s="7" t="s">
        <v>239</v>
      </c>
      <c r="M8" s="7" t="s">
        <v>155</v>
      </c>
      <c r="N8" s="7" t="s">
        <v>502</v>
      </c>
      <c r="O8" s="7" t="s">
        <v>503</v>
      </c>
      <c r="P8" s="9" t="s">
        <v>504</v>
      </c>
      <c r="Q8" s="9" t="s">
        <v>505</v>
      </c>
      <c r="R8" s="9" t="s">
        <v>506</v>
      </c>
      <c r="S8" s="14" t="s">
        <v>507</v>
      </c>
      <c r="T8" s="7" t="b">
        <v>0</v>
      </c>
      <c r="U8" s="7" t="s">
        <v>161</v>
      </c>
      <c r="V8" s="11" t="s">
        <v>162</v>
      </c>
      <c r="W8" s="8"/>
      <c r="X8" s="11" t="s">
        <v>163</v>
      </c>
      <c r="Y8" s="11" t="s">
        <v>163</v>
      </c>
      <c r="Z8" s="11" t="s">
        <v>508</v>
      </c>
      <c r="AA8" s="12">
        <v>17429408</v>
      </c>
      <c r="AB8" s="11" t="s">
        <v>196</v>
      </c>
      <c r="AC8" s="11" t="s">
        <v>325</v>
      </c>
      <c r="AD8" s="11" t="s">
        <v>167</v>
      </c>
      <c r="AE8" s="12">
        <v>110127524616</v>
      </c>
      <c r="AF8" s="11" t="s">
        <v>509</v>
      </c>
      <c r="AG8" s="11" t="s">
        <v>168</v>
      </c>
      <c r="AH8" s="11" t="s">
        <v>199</v>
      </c>
    </row>
    <row r="9" spans="1:35" s="13" customFormat="1" ht="36" customHeight="1">
      <c r="A9" s="7">
        <v>11503004814</v>
      </c>
      <c r="B9" s="7" t="s">
        <v>82</v>
      </c>
      <c r="C9" s="7" t="s">
        <v>148</v>
      </c>
      <c r="D9" s="7" t="s">
        <v>510</v>
      </c>
      <c r="E9" s="7">
        <v>22</v>
      </c>
      <c r="F9" s="7">
        <v>77218121</v>
      </c>
      <c r="G9" s="14" t="s">
        <v>511</v>
      </c>
      <c r="H9" s="7" t="s">
        <v>512</v>
      </c>
      <c r="I9" s="7" t="s">
        <v>238</v>
      </c>
      <c r="J9" s="7" t="s">
        <v>350</v>
      </c>
      <c r="K9" s="7" t="s">
        <v>153</v>
      </c>
      <c r="L9" s="7" t="s">
        <v>154</v>
      </c>
      <c r="M9" s="7" t="s">
        <v>155</v>
      </c>
      <c r="N9" s="7" t="s">
        <v>513</v>
      </c>
      <c r="O9" s="7" t="s">
        <v>514</v>
      </c>
      <c r="P9" s="9" t="s">
        <v>515</v>
      </c>
      <c r="Q9" s="9" t="s">
        <v>516</v>
      </c>
      <c r="R9" s="9" t="s">
        <v>517</v>
      </c>
      <c r="S9" s="10"/>
      <c r="T9" s="7" t="b">
        <v>0</v>
      </c>
      <c r="U9" s="7" t="s">
        <v>161</v>
      </c>
      <c r="V9" s="11" t="s">
        <v>162</v>
      </c>
      <c r="W9" s="8"/>
      <c r="X9" s="11" t="s">
        <v>163</v>
      </c>
      <c r="Y9" s="11" t="s">
        <v>163</v>
      </c>
      <c r="Z9" s="11" t="s">
        <v>518</v>
      </c>
      <c r="AA9" s="12">
        <f>97517684866</f>
        <v>97517684866</v>
      </c>
      <c r="AB9" s="11" t="s">
        <v>285</v>
      </c>
      <c r="AC9" s="11" t="s">
        <v>166</v>
      </c>
      <c r="AD9" s="11" t="s">
        <v>167</v>
      </c>
      <c r="AE9" s="12">
        <v>110181781885</v>
      </c>
      <c r="AF9" s="8"/>
      <c r="AG9" s="11" t="s">
        <v>168</v>
      </c>
      <c r="AH9" s="11" t="s">
        <v>199</v>
      </c>
    </row>
    <row r="10" spans="1:35" s="13" customFormat="1" ht="29.25" customHeight="1">
      <c r="A10" s="7">
        <v>12008003646</v>
      </c>
      <c r="B10" s="7" t="s">
        <v>96</v>
      </c>
      <c r="C10" s="7" t="s">
        <v>148</v>
      </c>
      <c r="D10" s="7" t="s">
        <v>519</v>
      </c>
      <c r="E10" s="7">
        <v>37</v>
      </c>
      <c r="F10" s="7">
        <v>17829052</v>
      </c>
      <c r="G10" s="14" t="s">
        <v>520</v>
      </c>
      <c r="H10" s="7" t="s">
        <v>521</v>
      </c>
      <c r="I10" s="7" t="s">
        <v>471</v>
      </c>
      <c r="J10" s="7" t="s">
        <v>152</v>
      </c>
      <c r="K10" s="7" t="s">
        <v>451</v>
      </c>
      <c r="L10" s="7" t="s">
        <v>217</v>
      </c>
      <c r="M10" s="7" t="s">
        <v>155</v>
      </c>
      <c r="N10" s="7" t="s">
        <v>522</v>
      </c>
      <c r="O10" s="7" t="s">
        <v>523</v>
      </c>
      <c r="P10" s="9" t="s">
        <v>524</v>
      </c>
      <c r="Q10" s="9" t="s">
        <v>525</v>
      </c>
      <c r="R10" s="9" t="s">
        <v>526</v>
      </c>
      <c r="S10" s="14" t="s">
        <v>527</v>
      </c>
      <c r="T10" s="7" t="b">
        <v>1</v>
      </c>
      <c r="U10" s="7" t="s">
        <v>161</v>
      </c>
      <c r="V10" s="11" t="s">
        <v>162</v>
      </c>
      <c r="W10" s="8"/>
      <c r="X10" s="11" t="s">
        <v>163</v>
      </c>
      <c r="Y10" s="11" t="s">
        <v>163</v>
      </c>
      <c r="Z10" s="11" t="s">
        <v>528</v>
      </c>
      <c r="AA10" s="12">
        <v>17917463</v>
      </c>
      <c r="AB10" s="11" t="s">
        <v>224</v>
      </c>
      <c r="AC10" s="11" t="s">
        <v>166</v>
      </c>
      <c r="AD10" s="11" t="s">
        <v>167</v>
      </c>
      <c r="AE10" s="12">
        <v>100100197735</v>
      </c>
      <c r="AF10" s="11" t="s">
        <v>529</v>
      </c>
      <c r="AG10" s="11" t="s">
        <v>168</v>
      </c>
      <c r="AH10" s="11" t="s">
        <v>248</v>
      </c>
    </row>
    <row r="11" spans="1:35" s="13" customFormat="1" ht="34.5" customHeight="1">
      <c r="A11" s="7">
        <v>11410004075</v>
      </c>
      <c r="B11" s="7" t="s">
        <v>530</v>
      </c>
      <c r="C11" s="7" t="s">
        <v>148</v>
      </c>
      <c r="D11" s="7" t="s">
        <v>531</v>
      </c>
      <c r="E11" s="7">
        <v>23</v>
      </c>
      <c r="F11" s="7">
        <v>97517864637</v>
      </c>
      <c r="G11" s="14" t="s">
        <v>532</v>
      </c>
      <c r="H11" s="7" t="s">
        <v>533</v>
      </c>
      <c r="I11" s="7" t="s">
        <v>228</v>
      </c>
      <c r="J11" s="7" t="s">
        <v>407</v>
      </c>
      <c r="K11" s="7" t="s">
        <v>153</v>
      </c>
      <c r="L11" s="7" t="s">
        <v>154</v>
      </c>
      <c r="M11" s="7" t="s">
        <v>155</v>
      </c>
      <c r="N11" s="7" t="s">
        <v>534</v>
      </c>
      <c r="O11" s="7" t="s">
        <v>535</v>
      </c>
      <c r="P11" s="9" t="s">
        <v>536</v>
      </c>
      <c r="Q11" s="9" t="s">
        <v>537</v>
      </c>
      <c r="R11" s="9" t="s">
        <v>538</v>
      </c>
      <c r="S11" s="10"/>
      <c r="T11" s="7" t="b">
        <v>0</v>
      </c>
      <c r="U11" s="7" t="s">
        <v>161</v>
      </c>
      <c r="V11" s="11" t="s">
        <v>162</v>
      </c>
      <c r="W11" s="8"/>
      <c r="X11" s="11" t="s">
        <v>163</v>
      </c>
      <c r="Y11" s="11" t="s">
        <v>163</v>
      </c>
      <c r="Z11" s="11" t="s">
        <v>539</v>
      </c>
      <c r="AA11" s="12">
        <v>97577292610</v>
      </c>
      <c r="AB11" s="11" t="s">
        <v>180</v>
      </c>
      <c r="AC11" s="11" t="s">
        <v>197</v>
      </c>
      <c r="AD11" s="8"/>
      <c r="AE11" s="8"/>
      <c r="AF11" s="8"/>
      <c r="AG11" s="11" t="s">
        <v>168</v>
      </c>
      <c r="AH11" s="11" t="s">
        <v>248</v>
      </c>
    </row>
    <row r="12" spans="1:35" s="13" customFormat="1" ht="41.25" customHeight="1">
      <c r="A12" s="7">
        <v>11501003508</v>
      </c>
      <c r="B12" s="7" t="s">
        <v>103</v>
      </c>
      <c r="C12" s="7" t="s">
        <v>148</v>
      </c>
      <c r="D12" s="7" t="s">
        <v>540</v>
      </c>
      <c r="E12" s="7">
        <v>22</v>
      </c>
      <c r="F12" s="7">
        <v>17989729</v>
      </c>
      <c r="G12" s="14" t="s">
        <v>541</v>
      </c>
      <c r="H12" s="7" t="s">
        <v>542</v>
      </c>
      <c r="I12" s="7" t="s">
        <v>238</v>
      </c>
      <c r="J12" s="7" t="s">
        <v>152</v>
      </c>
      <c r="K12" s="7" t="s">
        <v>153</v>
      </c>
      <c r="L12" s="7" t="s">
        <v>154</v>
      </c>
      <c r="M12" s="7" t="s">
        <v>189</v>
      </c>
      <c r="N12" s="7" t="s">
        <v>543</v>
      </c>
      <c r="O12" s="7" t="s">
        <v>544</v>
      </c>
      <c r="P12" s="9" t="s">
        <v>545</v>
      </c>
      <c r="Q12" s="9" t="s">
        <v>546</v>
      </c>
      <c r="R12" s="9" t="s">
        <v>547</v>
      </c>
      <c r="S12" s="10"/>
      <c r="T12" s="7" t="b">
        <v>1</v>
      </c>
      <c r="U12" s="7" t="s">
        <v>161</v>
      </c>
      <c r="V12" s="11" t="s">
        <v>162</v>
      </c>
      <c r="W12" s="8"/>
      <c r="X12" s="11" t="s">
        <v>163</v>
      </c>
      <c r="Y12" s="11" t="s">
        <v>163</v>
      </c>
      <c r="Z12" s="11" t="s">
        <v>548</v>
      </c>
      <c r="AA12" s="12">
        <v>17702873</v>
      </c>
      <c r="AB12" s="11" t="s">
        <v>180</v>
      </c>
      <c r="AC12" s="11" t="s">
        <v>181</v>
      </c>
      <c r="AD12" s="11" t="s">
        <v>167</v>
      </c>
      <c r="AE12" s="12">
        <v>110106749422</v>
      </c>
      <c r="AF12" s="8"/>
      <c r="AG12" s="11" t="s">
        <v>168</v>
      </c>
      <c r="AH12" s="11" t="s">
        <v>169</v>
      </c>
    </row>
    <row r="13" spans="1:35" ht="36.75" customHeight="1">
      <c r="A13" s="15">
        <v>11908000413</v>
      </c>
      <c r="B13" s="15" t="s">
        <v>51</v>
      </c>
      <c r="C13" s="15" t="s">
        <v>183</v>
      </c>
      <c r="D13" s="15" t="s">
        <v>549</v>
      </c>
      <c r="E13" s="15">
        <v>24</v>
      </c>
      <c r="F13" s="15">
        <v>97517943757</v>
      </c>
      <c r="G13" s="15"/>
      <c r="H13" s="21" t="s">
        <v>550</v>
      </c>
      <c r="I13" s="15" t="s">
        <v>288</v>
      </c>
      <c r="J13" s="15" t="s">
        <v>551</v>
      </c>
      <c r="K13" s="15" t="s">
        <v>153</v>
      </c>
      <c r="L13" s="15" t="s">
        <v>154</v>
      </c>
      <c r="M13" s="15" t="s">
        <v>155</v>
      </c>
      <c r="N13" s="15" t="s">
        <v>552</v>
      </c>
      <c r="O13" s="15" t="s">
        <v>206</v>
      </c>
      <c r="P13" s="17" t="s">
        <v>553</v>
      </c>
      <c r="Q13" s="17" t="s">
        <v>554</v>
      </c>
      <c r="R13" s="17" t="s">
        <v>555</v>
      </c>
      <c r="S13" s="18"/>
      <c r="T13" s="15" t="b">
        <v>0</v>
      </c>
      <c r="U13" s="15" t="s">
        <v>161</v>
      </c>
      <c r="V13" s="19" t="s">
        <v>162</v>
      </c>
      <c r="W13" s="16"/>
      <c r="X13" s="19" t="s">
        <v>163</v>
      </c>
      <c r="Y13" s="19" t="s">
        <v>163</v>
      </c>
      <c r="Z13" s="19" t="s">
        <v>556</v>
      </c>
      <c r="AA13" s="20">
        <v>97577804346</v>
      </c>
      <c r="AB13" s="19" t="s">
        <v>285</v>
      </c>
      <c r="AC13" s="19" t="s">
        <v>166</v>
      </c>
      <c r="AD13" s="19" t="s">
        <v>167</v>
      </c>
      <c r="AE13" s="20">
        <v>110152193035</v>
      </c>
      <c r="AF13" s="19" t="s">
        <v>557</v>
      </c>
      <c r="AG13" s="19" t="s">
        <v>168</v>
      </c>
      <c r="AH13" s="19" t="s">
        <v>169</v>
      </c>
    </row>
    <row r="14" spans="1:35" s="13" customFormat="1" ht="62.25" customHeight="1">
      <c r="A14" s="7">
        <v>10905002191</v>
      </c>
      <c r="B14" s="7" t="s">
        <v>62</v>
      </c>
      <c r="C14" s="7" t="s">
        <v>148</v>
      </c>
      <c r="D14" s="7" t="s">
        <v>558</v>
      </c>
      <c r="E14" s="7">
        <v>34</v>
      </c>
      <c r="F14" s="7">
        <v>97517479879</v>
      </c>
      <c r="G14" s="7"/>
      <c r="H14" s="7" t="s">
        <v>559</v>
      </c>
      <c r="I14" s="7" t="s">
        <v>151</v>
      </c>
      <c r="J14" s="7" t="s">
        <v>560</v>
      </c>
      <c r="K14" s="7" t="s">
        <v>188</v>
      </c>
      <c r="L14" s="7" t="s">
        <v>204</v>
      </c>
      <c r="M14" s="7" t="s">
        <v>155</v>
      </c>
      <c r="N14" s="7" t="s">
        <v>561</v>
      </c>
      <c r="O14" s="7" t="s">
        <v>562</v>
      </c>
      <c r="P14" s="8"/>
      <c r="Q14" s="9" t="s">
        <v>563</v>
      </c>
      <c r="R14" s="9" t="s">
        <v>564</v>
      </c>
      <c r="S14" s="9" t="s">
        <v>565</v>
      </c>
      <c r="T14" s="14" t="s">
        <v>566</v>
      </c>
      <c r="U14" s="7" t="b">
        <v>1</v>
      </c>
      <c r="V14" s="7" t="s">
        <v>161</v>
      </c>
      <c r="W14" s="11" t="s">
        <v>162</v>
      </c>
      <c r="X14" s="8"/>
      <c r="Y14" s="11" t="s">
        <v>163</v>
      </c>
      <c r="Z14" s="11" t="s">
        <v>163</v>
      </c>
      <c r="AA14" s="11" t="s">
        <v>567</v>
      </c>
      <c r="AB14" s="12">
        <v>97517675166</v>
      </c>
      <c r="AC14" s="11" t="s">
        <v>196</v>
      </c>
      <c r="AD14" s="11" t="s">
        <v>181</v>
      </c>
      <c r="AE14" s="11" t="s">
        <v>167</v>
      </c>
      <c r="AF14" s="12">
        <v>110138927510</v>
      </c>
      <c r="AG14" s="11" t="s">
        <v>568</v>
      </c>
      <c r="AH14" s="11" t="s">
        <v>168</v>
      </c>
      <c r="AI14" s="11" t="s">
        <v>182</v>
      </c>
    </row>
    <row r="15" spans="1:35" s="13" customFormat="1" ht="54.75" customHeight="1">
      <c r="A15" s="7">
        <v>11009001884</v>
      </c>
      <c r="B15" s="7" t="s">
        <v>569</v>
      </c>
      <c r="C15" s="7" t="s">
        <v>183</v>
      </c>
      <c r="D15" s="7" t="s">
        <v>570</v>
      </c>
      <c r="E15" s="7">
        <v>23</v>
      </c>
      <c r="F15" s="7">
        <v>17255337</v>
      </c>
      <c r="G15" s="7" t="s">
        <v>571</v>
      </c>
      <c r="H15" s="7" t="s">
        <v>572</v>
      </c>
      <c r="I15" s="7" t="s">
        <v>573</v>
      </c>
      <c r="J15" s="7" t="s">
        <v>574</v>
      </c>
      <c r="K15" s="7" t="s">
        <v>153</v>
      </c>
      <c r="L15" s="7" t="s">
        <v>154</v>
      </c>
      <c r="M15" s="7" t="s">
        <v>189</v>
      </c>
      <c r="N15" s="7" t="s">
        <v>575</v>
      </c>
      <c r="O15" s="7" t="s">
        <v>576</v>
      </c>
      <c r="P15" s="8"/>
      <c r="Q15" s="9" t="s">
        <v>577</v>
      </c>
      <c r="R15" s="9" t="s">
        <v>578</v>
      </c>
      <c r="S15" s="9" t="s">
        <v>579</v>
      </c>
      <c r="T15" s="10"/>
      <c r="U15" s="7" t="b">
        <v>0</v>
      </c>
      <c r="V15" s="7" t="s">
        <v>161</v>
      </c>
      <c r="W15" s="11" t="s">
        <v>162</v>
      </c>
      <c r="X15" s="8"/>
      <c r="Y15" s="11" t="s">
        <v>163</v>
      </c>
      <c r="Z15" s="11" t="s">
        <v>163</v>
      </c>
      <c r="AA15" s="11" t="s">
        <v>580</v>
      </c>
      <c r="AB15" s="12">
        <v>17609495</v>
      </c>
      <c r="AC15" s="11" t="s">
        <v>180</v>
      </c>
      <c r="AD15" s="11" t="s">
        <v>197</v>
      </c>
      <c r="AE15" s="11" t="s">
        <v>167</v>
      </c>
      <c r="AF15" s="12">
        <v>110148967211</v>
      </c>
      <c r="AG15" s="8"/>
      <c r="AH15" s="11" t="s">
        <v>168</v>
      </c>
      <c r="AI15" s="11" t="s">
        <v>169</v>
      </c>
    </row>
    <row r="16" spans="1:35" ht="51" customHeight="1">
      <c r="A16" s="23">
        <v>11405000448</v>
      </c>
      <c r="B16" s="23" t="s">
        <v>581</v>
      </c>
      <c r="C16" s="23" t="s">
        <v>148</v>
      </c>
      <c r="D16" s="23" t="s">
        <v>582</v>
      </c>
      <c r="E16" s="23">
        <v>26</v>
      </c>
      <c r="F16" s="23">
        <v>97517590095</v>
      </c>
      <c r="G16" s="23" t="s">
        <v>583</v>
      </c>
      <c r="H16" s="23" t="s">
        <v>584</v>
      </c>
      <c r="I16" s="23" t="s">
        <v>585</v>
      </c>
      <c r="J16" s="23" t="s">
        <v>152</v>
      </c>
      <c r="K16" s="23" t="s">
        <v>188</v>
      </c>
      <c r="L16" s="23" t="s">
        <v>154</v>
      </c>
      <c r="M16" s="23" t="s">
        <v>155</v>
      </c>
      <c r="N16" s="23" t="s">
        <v>586</v>
      </c>
      <c r="O16" s="23" t="s">
        <v>231</v>
      </c>
      <c r="P16" s="24"/>
      <c r="Q16" s="25" t="s">
        <v>587</v>
      </c>
      <c r="R16" s="25" t="s">
        <v>588</v>
      </c>
      <c r="S16" s="25" t="s">
        <v>589</v>
      </c>
      <c r="T16" s="26"/>
      <c r="U16" s="23" t="b">
        <v>0</v>
      </c>
      <c r="V16" s="23" t="s">
        <v>161</v>
      </c>
      <c r="W16" s="27" t="s">
        <v>162</v>
      </c>
      <c r="X16" s="24"/>
      <c r="Y16" s="27" t="s">
        <v>163</v>
      </c>
      <c r="Z16" s="27" t="s">
        <v>163</v>
      </c>
      <c r="AA16" s="27" t="s">
        <v>590</v>
      </c>
      <c r="AB16" s="28">
        <v>97517925960</v>
      </c>
      <c r="AC16" s="27" t="s">
        <v>196</v>
      </c>
      <c r="AD16" s="27" t="s">
        <v>181</v>
      </c>
      <c r="AE16" s="27" t="s">
        <v>167</v>
      </c>
      <c r="AF16" s="28">
        <v>110146063876</v>
      </c>
      <c r="AG16" s="24"/>
      <c r="AH16" s="27" t="s">
        <v>168</v>
      </c>
      <c r="AI16" s="27" t="s">
        <v>199</v>
      </c>
    </row>
    <row r="17" spans="1:35" ht="63" customHeight="1">
      <c r="A17" s="15">
        <v>11508004479</v>
      </c>
      <c r="B17" s="15" t="s">
        <v>21</v>
      </c>
      <c r="C17" s="15" t="s">
        <v>148</v>
      </c>
      <c r="D17" s="15" t="s">
        <v>591</v>
      </c>
      <c r="E17" s="15">
        <v>36</v>
      </c>
      <c r="F17" s="15">
        <v>17443057</v>
      </c>
      <c r="G17" s="15" t="s">
        <v>592</v>
      </c>
      <c r="H17" s="15" t="s">
        <v>593</v>
      </c>
      <c r="I17" s="15" t="s">
        <v>151</v>
      </c>
      <c r="J17" s="15" t="s">
        <v>594</v>
      </c>
      <c r="K17" s="15" t="s">
        <v>153</v>
      </c>
      <c r="L17" s="15" t="s">
        <v>154</v>
      </c>
      <c r="M17" s="15" t="s">
        <v>155</v>
      </c>
      <c r="N17" s="15" t="s">
        <v>595</v>
      </c>
      <c r="O17" s="15" t="s">
        <v>596</v>
      </c>
      <c r="P17" s="16"/>
      <c r="Q17" s="17" t="s">
        <v>597</v>
      </c>
      <c r="R17" s="17" t="s">
        <v>598</v>
      </c>
      <c r="S17" s="17" t="s">
        <v>599</v>
      </c>
      <c r="T17" s="18"/>
      <c r="U17" s="15" t="b">
        <v>1</v>
      </c>
      <c r="V17" s="15" t="s">
        <v>161</v>
      </c>
      <c r="W17" s="19" t="s">
        <v>162</v>
      </c>
      <c r="X17" s="16"/>
      <c r="Y17" s="19" t="s">
        <v>163</v>
      </c>
      <c r="Z17" s="19" t="s">
        <v>163</v>
      </c>
      <c r="AA17" s="20">
        <v>17443057</v>
      </c>
      <c r="AB17" s="20">
        <f>97517576842</f>
        <v>97517576842</v>
      </c>
      <c r="AC17" s="19" t="s">
        <v>285</v>
      </c>
      <c r="AD17" s="19" t="s">
        <v>181</v>
      </c>
      <c r="AE17" s="16"/>
      <c r="AF17" s="16"/>
      <c r="AG17" s="16"/>
      <c r="AH17" s="19" t="s">
        <v>168</v>
      </c>
      <c r="AI17" s="19" t="s">
        <v>248</v>
      </c>
    </row>
  </sheetData>
  <hyperlinks>
    <hyperlink ref="P2" r:id="rId1" xr:uid="{7A8B5CFD-4FBA-4768-8FAF-03513FF48B64}"/>
    <hyperlink ref="Q2" r:id="rId2" xr:uid="{0B022882-244A-4A2C-8D73-BCE3F7129273}"/>
    <hyperlink ref="R2" r:id="rId3" xr:uid="{87DD2635-89EF-4E48-A156-448CA898E788}"/>
    <hyperlink ref="P3" r:id="rId4" xr:uid="{D1E84E51-2D4A-49DA-800B-EF3CE57E8BDE}"/>
    <hyperlink ref="Q3" r:id="rId5" xr:uid="{C244632C-5D9A-4481-AA33-7618AB6A3876}"/>
    <hyperlink ref="R3" r:id="rId6" xr:uid="{46E15F63-F90F-4E95-9845-5A2DEC980515}"/>
    <hyperlink ref="P4" r:id="rId7" xr:uid="{DB1C9A17-C7DE-415E-ACF9-B975553B7307}"/>
    <hyperlink ref="Q4" r:id="rId8" xr:uid="{0DF26901-AD0C-4C8F-BFE1-ED7062035D03}"/>
    <hyperlink ref="R4" r:id="rId9" xr:uid="{6988BDAA-CA08-49BE-8B4A-61DE91022794}"/>
    <hyperlink ref="P5" r:id="rId10" xr:uid="{130DC225-3F07-4BA9-8AEE-FF92EF7C959D}"/>
    <hyperlink ref="Q5" r:id="rId11" xr:uid="{EEE2A62B-B0B9-423D-A907-3E1C5D19ED9E}"/>
    <hyperlink ref="R5" r:id="rId12" xr:uid="{82C05C3C-87F2-4529-9E50-599E66344EB7}"/>
    <hyperlink ref="P6" r:id="rId13" xr:uid="{844AED1F-0EC7-492E-91F6-3717A44CCE9B}"/>
    <hyperlink ref="Q6" r:id="rId14" xr:uid="{F02658FF-B422-499D-9164-CEB017E2A6F9}"/>
    <hyperlink ref="R6" r:id="rId15" xr:uid="{7C1A2B8B-E916-4A43-8DE3-5C8705210975}"/>
    <hyperlink ref="P7" r:id="rId16" xr:uid="{B93782CA-8D7C-4579-B672-DA0C81BE0307}"/>
    <hyperlink ref="Q7" r:id="rId17" xr:uid="{8311EA5F-D5D8-4A53-8113-C05D70FF40D5}"/>
    <hyperlink ref="R7" r:id="rId18" xr:uid="{CA24A2B0-19A3-4B1C-BDF0-E6BF28567A67}"/>
    <hyperlink ref="P8" r:id="rId19" xr:uid="{66B63A83-2383-43D2-B9AC-63034B555CD0}"/>
    <hyperlink ref="Q8" r:id="rId20" xr:uid="{0D1AF5A9-F16C-42A5-B97C-AEB5FB3C1EE5}"/>
    <hyperlink ref="R8" r:id="rId21" xr:uid="{27459E41-6F1B-4E15-B01F-D5EA4F317ED5}"/>
    <hyperlink ref="P9" r:id="rId22" xr:uid="{C5C85D6A-3D16-4BB7-9BF2-1D55F58EE06F}"/>
    <hyperlink ref="Q9" r:id="rId23" xr:uid="{7F916504-C336-4480-92EF-36820F153706}"/>
    <hyperlink ref="R9" r:id="rId24" xr:uid="{3387C7B0-755E-46B5-B260-42A2CF920634}"/>
    <hyperlink ref="P10" r:id="rId25" xr:uid="{AC598D35-007C-4CBC-89B6-B475FD131627}"/>
    <hyperlink ref="Q10" r:id="rId26" xr:uid="{98BBF1A4-C870-4260-B85A-2E681EB8D503}"/>
    <hyperlink ref="R10" r:id="rId27" xr:uid="{EF91CA32-6343-44AA-8668-169D8A59625C}"/>
    <hyperlink ref="P11" r:id="rId28" xr:uid="{C4542FFC-A9D7-42A7-98AC-F9E7D1AA87F0}"/>
    <hyperlink ref="Q11" r:id="rId29" xr:uid="{C1ACECE4-7517-4A90-9502-CA363387F86D}"/>
    <hyperlink ref="R11" r:id="rId30" xr:uid="{067E1B21-BCDB-49B4-A5EE-4E8003802CA1}"/>
    <hyperlink ref="P12" r:id="rId31" xr:uid="{05894257-3DCC-44D7-9004-289975DDAE45}"/>
    <hyperlink ref="Q12" r:id="rId32" xr:uid="{3422EF82-D7BA-4E32-8622-49035436533F}"/>
    <hyperlink ref="R12" r:id="rId33" xr:uid="{89119529-5D54-4AFF-A302-EDB59C529476}"/>
    <hyperlink ref="P13" r:id="rId34" xr:uid="{6826F9B4-C0C9-4E16-9784-488B45FFB1E4}"/>
    <hyperlink ref="Q13" r:id="rId35" xr:uid="{F02B5ED8-137F-43DF-B5DF-9EBFC1204AC1}"/>
    <hyperlink ref="R13" r:id="rId36" xr:uid="{93C92D4B-F687-45DC-B7A4-0A7EBA344CF7}"/>
    <hyperlink ref="H13" r:id="rId37" xr:uid="{F073F674-A4AE-4C95-95D2-3FDC7B3F40CD}"/>
    <hyperlink ref="Q14" r:id="rId38" xr:uid="{225898C5-D3ED-4B00-A29D-696FF9D37C59}"/>
    <hyperlink ref="R14" r:id="rId39" xr:uid="{52440520-0BC3-4B76-A00A-2E1A33121F96}"/>
    <hyperlink ref="S14" r:id="rId40" xr:uid="{598167C2-311F-4AD1-812A-BCD3BD06EAE7}"/>
    <hyperlink ref="Q15" r:id="rId41" xr:uid="{6588E76E-EEB6-4025-9B04-8296E35D89C7}"/>
    <hyperlink ref="R15" r:id="rId42" xr:uid="{63BDB27C-5012-481E-BE01-B5F6C609CC94}"/>
    <hyperlink ref="S15" r:id="rId43" xr:uid="{6A7EFF00-823A-4DB1-8F9E-1AF49D3C6B11}"/>
    <hyperlink ref="Q16" r:id="rId44" xr:uid="{ED957108-DECB-404D-B468-EC008283DDA5}"/>
    <hyperlink ref="R16" r:id="rId45" xr:uid="{0BEA3764-D10A-43F4-899C-8C6E92CE5C9E}"/>
    <hyperlink ref="S16" r:id="rId46" xr:uid="{65F13FE6-93D0-478B-BA49-701FEFBFBCBE}"/>
    <hyperlink ref="Q17" r:id="rId47" xr:uid="{F3A5AE44-3F64-4B80-B3C1-17A0530BEDBE}"/>
    <hyperlink ref="R17" r:id="rId48" xr:uid="{89929BFB-DC15-4814-B774-15E20D3B767B}"/>
    <hyperlink ref="S17" r:id="rId49" xr:uid="{6B433FE9-C1BD-4226-8DF3-091233DFA8A6}"/>
  </hyperlinks>
  <pageMargins left="0.7" right="0.7" top="0.75" bottom="0.75" header="0.3" footer="0.3"/>
  <tableParts count="1">
    <tablePart r:id="rId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2026-04-17T03:43:01Z</dcterms:created>
  <dcterms:modified xsi:type="dcterms:W3CDTF">2026-05-08T05:24:47Z</dcterms:modified>
  <cp:category/>
  <cp:contentStatus/>
</cp:coreProperties>
</file>